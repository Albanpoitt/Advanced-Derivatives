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07204a2a97b7f7b/Bureau/Etudes (MP ^0 EDHEC ^0 Maths)/M2/Advanced derivatives/"/>
    </mc:Choice>
  </mc:AlternateContent>
  <xr:revisionPtr revIDLastSave="153" documentId="8_{7A264FEC-7F64-44C4-92E3-41B2C8237228}" xr6:coauthVersionLast="47" xr6:coauthVersionMax="47" xr10:uidLastSave="{4D52E2FD-91D3-48EC-A916-2340AFB032FD}"/>
  <bookViews>
    <workbookView xWindow="5904" yWindow="2616" windowWidth="17280" windowHeight="8964" activeTab="1" xr2:uid="{8BB9271C-87DC-473D-ABC6-070861D84684}"/>
  </bookViews>
  <sheets>
    <sheet name="7.a" sheetId="2" r:id="rId1"/>
    <sheet name="7.b &amp; c &amp; d" sheetId="3" r:id="rId2"/>
    <sheet name="7.e" sheetId="4" r:id="rId3"/>
    <sheet name="7.f" sheetId="5" r:id="rId4"/>
    <sheet name="Chart CDS curb" sheetId="7" r:id="rId5"/>
  </sheets>
  <definedNames>
    <definedName name="solver_adj" localSheetId="0" hidden="1">'7.a'!$C$9:$C$13</definedName>
    <definedName name="solver_adj" localSheetId="1" hidden="1">'7.b &amp; c &amp; d'!$C$9:$C$13</definedName>
    <definedName name="solver_adj" localSheetId="2" hidden="1">'7.e'!$C$9:$C$13</definedName>
    <definedName name="solver_adj" localSheetId="3" hidden="1">'7.f'!$C$9:$C$13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0" hidden="1">2</definedName>
    <definedName name="solver_drv" localSheetId="1" hidden="1">2</definedName>
    <definedName name="solver_drv" localSheetId="2" hidden="1">2</definedName>
    <definedName name="solver_drv" localSheetId="3" hidden="1">2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0" hidden="1">0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0" hidden="1">'7.a'!$I$14</definedName>
    <definedName name="solver_opt" localSheetId="1" hidden="1">'7.b &amp; c &amp; d'!$I$14</definedName>
    <definedName name="solver_opt" localSheetId="2" hidden="1">'7.e'!$I$14</definedName>
    <definedName name="solver_opt" localSheetId="3" hidden="1">'7.f'!$I$14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0" hidden="1">2</definedName>
    <definedName name="solver_rbv" localSheetId="1" hidden="1">2</definedName>
    <definedName name="solver_rbv" localSheetId="2" hidden="1">2</definedName>
    <definedName name="solver_rbv" localSheetId="3" hidden="1">2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0" hidden="1">2</definedName>
    <definedName name="solver_scl" localSheetId="1" hidden="1">2</definedName>
    <definedName name="solver_scl" localSheetId="2" hidden="1">2</definedName>
    <definedName name="solver_scl" localSheetId="3" hidden="1">2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0" hidden="1">2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5" l="1"/>
  <c r="C39" i="5"/>
  <c r="E38" i="5"/>
  <c r="C38" i="5"/>
  <c r="E37" i="5"/>
  <c r="C37" i="5"/>
  <c r="E36" i="5"/>
  <c r="C36" i="5"/>
  <c r="E35" i="5"/>
  <c r="C35" i="5"/>
  <c r="E34" i="5"/>
  <c r="C34" i="5"/>
  <c r="E33" i="5"/>
  <c r="C33" i="5"/>
  <c r="E32" i="5"/>
  <c r="C32" i="5"/>
  <c r="E31" i="5"/>
  <c r="C31" i="5"/>
  <c r="E30" i="5"/>
  <c r="C30" i="5"/>
  <c r="F29" i="5"/>
  <c r="I29" i="5" s="1"/>
  <c r="E29" i="5"/>
  <c r="C29" i="5"/>
  <c r="E28" i="5"/>
  <c r="C28" i="5"/>
  <c r="E27" i="5"/>
  <c r="C27" i="5"/>
  <c r="E26" i="5"/>
  <c r="C26" i="5"/>
  <c r="F25" i="5"/>
  <c r="I25" i="5" s="1"/>
  <c r="E25" i="5"/>
  <c r="C25" i="5"/>
  <c r="E24" i="5"/>
  <c r="C24" i="5"/>
  <c r="E23" i="5"/>
  <c r="C23" i="5"/>
  <c r="E22" i="5"/>
  <c r="C22" i="5"/>
  <c r="E21" i="5"/>
  <c r="C21" i="5"/>
  <c r="E20" i="5"/>
  <c r="C20" i="5"/>
  <c r="E19" i="5"/>
  <c r="C19" i="5"/>
  <c r="B18" i="5"/>
  <c r="F38" i="5" s="1"/>
  <c r="I38" i="5" s="1"/>
  <c r="G3" i="5"/>
  <c r="E39" i="4"/>
  <c r="C39" i="4"/>
  <c r="E38" i="4"/>
  <c r="C38" i="4"/>
  <c r="E37" i="4"/>
  <c r="C37" i="4"/>
  <c r="E36" i="4"/>
  <c r="C36" i="4"/>
  <c r="E35" i="4"/>
  <c r="C35" i="4"/>
  <c r="E34" i="4"/>
  <c r="C34" i="4"/>
  <c r="E33" i="4"/>
  <c r="C33" i="4"/>
  <c r="E32" i="4"/>
  <c r="C32" i="4"/>
  <c r="E31" i="4"/>
  <c r="C31" i="4"/>
  <c r="E30" i="4"/>
  <c r="C30" i="4"/>
  <c r="E29" i="4"/>
  <c r="C29" i="4"/>
  <c r="E28" i="4"/>
  <c r="C28" i="4"/>
  <c r="E27" i="4"/>
  <c r="C27" i="4"/>
  <c r="E26" i="4"/>
  <c r="C26" i="4"/>
  <c r="E25" i="4"/>
  <c r="C25" i="4"/>
  <c r="E24" i="4"/>
  <c r="C24" i="4"/>
  <c r="E23" i="4"/>
  <c r="C23" i="4"/>
  <c r="E22" i="4"/>
  <c r="C22" i="4"/>
  <c r="E21" i="4"/>
  <c r="C21" i="4"/>
  <c r="E20" i="4"/>
  <c r="C20" i="4"/>
  <c r="E19" i="4"/>
  <c r="C19" i="4"/>
  <c r="B18" i="4"/>
  <c r="F18" i="4" s="1"/>
  <c r="G3" i="4"/>
  <c r="E39" i="3"/>
  <c r="C39" i="3"/>
  <c r="E38" i="3"/>
  <c r="C38" i="3"/>
  <c r="E37" i="3"/>
  <c r="C37" i="3"/>
  <c r="E36" i="3"/>
  <c r="C36" i="3"/>
  <c r="E35" i="3"/>
  <c r="C35" i="3"/>
  <c r="E34" i="3"/>
  <c r="C34" i="3"/>
  <c r="E33" i="3"/>
  <c r="C33" i="3"/>
  <c r="E32" i="3"/>
  <c r="C32" i="3"/>
  <c r="E31" i="3"/>
  <c r="C31" i="3"/>
  <c r="E30" i="3"/>
  <c r="C30" i="3"/>
  <c r="E29" i="3"/>
  <c r="C29" i="3"/>
  <c r="E28" i="3"/>
  <c r="C28" i="3"/>
  <c r="E27" i="3"/>
  <c r="C27" i="3"/>
  <c r="E26" i="3"/>
  <c r="C26" i="3"/>
  <c r="E25" i="3"/>
  <c r="C25" i="3"/>
  <c r="E24" i="3"/>
  <c r="C24" i="3"/>
  <c r="E23" i="3"/>
  <c r="C23" i="3"/>
  <c r="E22" i="3"/>
  <c r="C22" i="3"/>
  <c r="E21" i="3"/>
  <c r="C21" i="3"/>
  <c r="E20" i="3"/>
  <c r="C20" i="3"/>
  <c r="E19" i="3"/>
  <c r="C19" i="3"/>
  <c r="B18" i="3"/>
  <c r="F18" i="3" s="1"/>
  <c r="G3" i="3"/>
  <c r="E39" i="2"/>
  <c r="C39" i="2"/>
  <c r="E38" i="2"/>
  <c r="C38" i="2"/>
  <c r="E37" i="2"/>
  <c r="C37" i="2"/>
  <c r="E36" i="2"/>
  <c r="C36" i="2"/>
  <c r="E35" i="2"/>
  <c r="C35" i="2"/>
  <c r="E34" i="2"/>
  <c r="C34" i="2"/>
  <c r="E33" i="2"/>
  <c r="C33" i="2"/>
  <c r="E32" i="2"/>
  <c r="C32" i="2"/>
  <c r="E31" i="2"/>
  <c r="C31" i="2"/>
  <c r="E30" i="2"/>
  <c r="C30" i="2"/>
  <c r="E29" i="2"/>
  <c r="C29" i="2"/>
  <c r="E28" i="2"/>
  <c r="C28" i="2"/>
  <c r="E27" i="2"/>
  <c r="C27" i="2"/>
  <c r="E26" i="2"/>
  <c r="C26" i="2"/>
  <c r="E25" i="2"/>
  <c r="C25" i="2"/>
  <c r="E24" i="2"/>
  <c r="C24" i="2"/>
  <c r="E23" i="2"/>
  <c r="C23" i="2"/>
  <c r="E22" i="2"/>
  <c r="C22" i="2"/>
  <c r="E21" i="2"/>
  <c r="C21" i="2"/>
  <c r="E20" i="2"/>
  <c r="C20" i="2"/>
  <c r="E19" i="2"/>
  <c r="C19" i="2"/>
  <c r="B18" i="2"/>
  <c r="F18" i="2" s="1"/>
  <c r="F33" i="5" l="1"/>
  <c r="I33" i="5" s="1"/>
  <c r="F37" i="5"/>
  <c r="I37" i="5" s="1"/>
  <c r="F18" i="5"/>
  <c r="I18" i="5" s="1"/>
  <c r="F21" i="5"/>
  <c r="G21" i="5" s="1"/>
  <c r="F25" i="4"/>
  <c r="I25" i="4" s="1"/>
  <c r="F21" i="4"/>
  <c r="G21" i="4" s="1"/>
  <c r="F32" i="4"/>
  <c r="I32" i="4" s="1"/>
  <c r="F29" i="4"/>
  <c r="I29" i="4" s="1"/>
  <c r="F28" i="4"/>
  <c r="I28" i="4" s="1"/>
  <c r="F20" i="4"/>
  <c r="I20" i="4" s="1"/>
  <c r="F33" i="4"/>
  <c r="I33" i="4" s="1"/>
  <c r="F24" i="4"/>
  <c r="I24" i="4" s="1"/>
  <c r="F37" i="4"/>
  <c r="I37" i="4" s="1"/>
  <c r="F33" i="3"/>
  <c r="I33" i="3" s="1"/>
  <c r="F37" i="3"/>
  <c r="I37" i="3" s="1"/>
  <c r="F25" i="3"/>
  <c r="I25" i="3" s="1"/>
  <c r="F29" i="3"/>
  <c r="I29" i="3" s="1"/>
  <c r="F21" i="3"/>
  <c r="I21" i="3" s="1"/>
  <c r="F31" i="2"/>
  <c r="I31" i="2" s="1"/>
  <c r="F33" i="2"/>
  <c r="I33" i="2" s="1"/>
  <c r="F27" i="2"/>
  <c r="I27" i="2" s="1"/>
  <c r="F21" i="2"/>
  <c r="I21" i="2" s="1"/>
  <c r="F37" i="2"/>
  <c r="I37" i="2" s="1"/>
  <c r="F25" i="2"/>
  <c r="I25" i="2" s="1"/>
  <c r="F19" i="2"/>
  <c r="I19" i="2" s="1"/>
  <c r="F35" i="2"/>
  <c r="I35" i="2" s="1"/>
  <c r="F29" i="2"/>
  <c r="I29" i="2" s="1"/>
  <c r="F23" i="2"/>
  <c r="I23" i="2" s="1"/>
  <c r="F20" i="5"/>
  <c r="I20" i="5" s="1"/>
  <c r="F24" i="5"/>
  <c r="I24" i="5" s="1"/>
  <c r="F28" i="5"/>
  <c r="I28" i="5" s="1"/>
  <c r="F32" i="5"/>
  <c r="I32" i="5" s="1"/>
  <c r="F36" i="5"/>
  <c r="I36" i="5" s="1"/>
  <c r="F19" i="5"/>
  <c r="F23" i="5"/>
  <c r="F27" i="5"/>
  <c r="I27" i="5" s="1"/>
  <c r="F31" i="5"/>
  <c r="I31" i="5" s="1"/>
  <c r="F35" i="5"/>
  <c r="I35" i="5" s="1"/>
  <c r="F39" i="5"/>
  <c r="I39" i="5" s="1"/>
  <c r="F22" i="5"/>
  <c r="I22" i="5" s="1"/>
  <c r="F26" i="5"/>
  <c r="I26" i="5" s="1"/>
  <c r="F30" i="5"/>
  <c r="I30" i="5" s="1"/>
  <c r="F34" i="5"/>
  <c r="I34" i="5" s="1"/>
  <c r="G18" i="4"/>
  <c r="I18" i="4"/>
  <c r="F36" i="4"/>
  <c r="I36" i="4" s="1"/>
  <c r="I21" i="4"/>
  <c r="F19" i="4"/>
  <c r="I19" i="4" s="1"/>
  <c r="F23" i="4"/>
  <c r="F27" i="4"/>
  <c r="I27" i="4" s="1"/>
  <c r="F31" i="4"/>
  <c r="I31" i="4" s="1"/>
  <c r="F35" i="4"/>
  <c r="I35" i="4" s="1"/>
  <c r="F39" i="4"/>
  <c r="I39" i="4" s="1"/>
  <c r="F22" i="4"/>
  <c r="I22" i="4" s="1"/>
  <c r="F26" i="4"/>
  <c r="I26" i="4" s="1"/>
  <c r="F30" i="4"/>
  <c r="I30" i="4" s="1"/>
  <c r="F34" i="4"/>
  <c r="I34" i="4" s="1"/>
  <c r="F38" i="4"/>
  <c r="I38" i="4" s="1"/>
  <c r="G18" i="3"/>
  <c r="I18" i="3"/>
  <c r="F20" i="3"/>
  <c r="I20" i="3" s="1"/>
  <c r="F24" i="3"/>
  <c r="I24" i="3" s="1"/>
  <c r="F28" i="3"/>
  <c r="I28" i="3" s="1"/>
  <c r="F32" i="3"/>
  <c r="I32" i="3" s="1"/>
  <c r="F36" i="3"/>
  <c r="I36" i="3" s="1"/>
  <c r="F19" i="3"/>
  <c r="I19" i="3" s="1"/>
  <c r="F23" i="3"/>
  <c r="F27" i="3"/>
  <c r="I27" i="3" s="1"/>
  <c r="F31" i="3"/>
  <c r="I31" i="3" s="1"/>
  <c r="F35" i="3"/>
  <c r="I35" i="3" s="1"/>
  <c r="F39" i="3"/>
  <c r="I39" i="3" s="1"/>
  <c r="F22" i="3"/>
  <c r="I22" i="3" s="1"/>
  <c r="F26" i="3"/>
  <c r="I26" i="3" s="1"/>
  <c r="F30" i="3"/>
  <c r="I30" i="3" s="1"/>
  <c r="F34" i="3"/>
  <c r="I34" i="3" s="1"/>
  <c r="F38" i="3"/>
  <c r="I38" i="3" s="1"/>
  <c r="G18" i="2"/>
  <c r="I18" i="2"/>
  <c r="G25" i="2"/>
  <c r="G29" i="2"/>
  <c r="F20" i="2"/>
  <c r="F24" i="2"/>
  <c r="I24" i="2" s="1"/>
  <c r="F28" i="2"/>
  <c r="I28" i="2" s="1"/>
  <c r="F32" i="2"/>
  <c r="I32" i="2" s="1"/>
  <c r="F36" i="2"/>
  <c r="I36" i="2" s="1"/>
  <c r="G32" i="2"/>
  <c r="F39" i="2"/>
  <c r="I39" i="2" s="1"/>
  <c r="G23" i="2"/>
  <c r="G27" i="2"/>
  <c r="F22" i="2"/>
  <c r="F26" i="2"/>
  <c r="I26" i="2" s="1"/>
  <c r="F30" i="2"/>
  <c r="I30" i="2" s="1"/>
  <c r="F34" i="2"/>
  <c r="I34" i="2" s="1"/>
  <c r="F38" i="2"/>
  <c r="I38" i="2" s="1"/>
  <c r="G28" i="3" l="1"/>
  <c r="G24" i="3"/>
  <c r="G38" i="5"/>
  <c r="G39" i="5"/>
  <c r="G34" i="5"/>
  <c r="G36" i="5"/>
  <c r="G30" i="5"/>
  <c r="G31" i="5"/>
  <c r="G32" i="5"/>
  <c r="G35" i="5"/>
  <c r="I21" i="5"/>
  <c r="G26" i="5"/>
  <c r="G18" i="5"/>
  <c r="G20" i="4"/>
  <c r="H21" i="4" s="1"/>
  <c r="G27" i="3"/>
  <c r="G36" i="3"/>
  <c r="G23" i="3"/>
  <c r="G32" i="3"/>
  <c r="G21" i="3"/>
  <c r="G19" i="3"/>
  <c r="H20" i="3" s="1"/>
  <c r="G35" i="2"/>
  <c r="G31" i="2"/>
  <c r="H32" i="2" s="1"/>
  <c r="G21" i="2"/>
  <c r="G37" i="2"/>
  <c r="G36" i="2"/>
  <c r="G33" i="2"/>
  <c r="H33" i="2" s="1"/>
  <c r="G19" i="2"/>
  <c r="H19" i="2" s="1"/>
  <c r="G24" i="5"/>
  <c r="G20" i="5"/>
  <c r="H21" i="5" s="1"/>
  <c r="I19" i="5"/>
  <c r="G19" i="5"/>
  <c r="H33" i="5"/>
  <c r="G28" i="5"/>
  <c r="I23" i="5"/>
  <c r="G25" i="5"/>
  <c r="G33" i="5"/>
  <c r="H34" i="5" s="1"/>
  <c r="G27" i="5"/>
  <c r="H28" i="5" s="1"/>
  <c r="G23" i="5"/>
  <c r="H24" i="5" s="1"/>
  <c r="G37" i="5"/>
  <c r="H38" i="5" s="1"/>
  <c r="G29" i="5"/>
  <c r="H30" i="5" s="1"/>
  <c r="G22" i="5"/>
  <c r="G39" i="4"/>
  <c r="G35" i="4"/>
  <c r="I23" i="4"/>
  <c r="G33" i="4"/>
  <c r="G29" i="4"/>
  <c r="G37" i="4"/>
  <c r="G25" i="4"/>
  <c r="G22" i="4"/>
  <c r="G26" i="4"/>
  <c r="G31" i="4"/>
  <c r="G19" i="4"/>
  <c r="G27" i="4"/>
  <c r="G36" i="4"/>
  <c r="H37" i="4" s="1"/>
  <c r="G34" i="4"/>
  <c r="G23" i="4"/>
  <c r="H24" i="4" s="1"/>
  <c r="G32" i="4"/>
  <c r="G30" i="4"/>
  <c r="G28" i="4"/>
  <c r="H19" i="4"/>
  <c r="G24" i="4"/>
  <c r="G38" i="4"/>
  <c r="G20" i="3"/>
  <c r="G10" i="3" s="1"/>
  <c r="G38" i="3"/>
  <c r="G34" i="3"/>
  <c r="G39" i="3"/>
  <c r="G35" i="3"/>
  <c r="I23" i="3"/>
  <c r="G37" i="3"/>
  <c r="H37" i="3" s="1"/>
  <c r="G33" i="3"/>
  <c r="G29" i="3"/>
  <c r="G25" i="3"/>
  <c r="H19" i="3"/>
  <c r="G30" i="3"/>
  <c r="G26" i="3"/>
  <c r="G31" i="3"/>
  <c r="G22" i="3"/>
  <c r="H23" i="3" s="1"/>
  <c r="I20" i="2"/>
  <c r="G20" i="2"/>
  <c r="G22" i="2"/>
  <c r="I22" i="2"/>
  <c r="G34" i="2"/>
  <c r="G39" i="2"/>
  <c r="G28" i="2"/>
  <c r="H29" i="2" s="1"/>
  <c r="G24" i="2"/>
  <c r="H25" i="2" s="1"/>
  <c r="G26" i="2"/>
  <c r="H27" i="2" s="1"/>
  <c r="G30" i="2"/>
  <c r="G38" i="2"/>
  <c r="H39" i="2" s="1"/>
  <c r="H31" i="5" l="1"/>
  <c r="H36" i="5"/>
  <c r="H26" i="5"/>
  <c r="H29" i="4"/>
  <c r="H33" i="4"/>
  <c r="H28" i="3"/>
  <c r="H33" i="3"/>
  <c r="H32" i="3"/>
  <c r="H36" i="3"/>
  <c r="H27" i="3"/>
  <c r="H26" i="3"/>
  <c r="H24" i="3"/>
  <c r="H36" i="2"/>
  <c r="H24" i="2"/>
  <c r="H31" i="2"/>
  <c r="H32" i="5"/>
  <c r="H25" i="5"/>
  <c r="H35" i="5"/>
  <c r="H39" i="5"/>
  <c r="H35" i="4"/>
  <c r="H39" i="4"/>
  <c r="H30" i="4"/>
  <c r="H26" i="4"/>
  <c r="H28" i="4"/>
  <c r="G13" i="3"/>
  <c r="H21" i="3"/>
  <c r="H31" i="3"/>
  <c r="H28" i="2"/>
  <c r="H35" i="2"/>
  <c r="H37" i="2"/>
  <c r="H27" i="5"/>
  <c r="G9" i="5"/>
  <c r="G13" i="5"/>
  <c r="G10" i="5"/>
  <c r="H20" i="5"/>
  <c r="G11" i="5"/>
  <c r="G12" i="5"/>
  <c r="N9" i="5"/>
  <c r="I3" i="5" s="1"/>
  <c r="H19" i="5"/>
  <c r="H23" i="5"/>
  <c r="H22" i="5"/>
  <c r="H29" i="5"/>
  <c r="H37" i="5"/>
  <c r="H38" i="4"/>
  <c r="H23" i="4"/>
  <c r="H22" i="4"/>
  <c r="H25" i="4"/>
  <c r="H34" i="4"/>
  <c r="G13" i="4"/>
  <c r="G10" i="4"/>
  <c r="G12" i="4"/>
  <c r="H20" i="4"/>
  <c r="G11" i="4"/>
  <c r="N9" i="4"/>
  <c r="I3" i="4" s="1"/>
  <c r="G9" i="4"/>
  <c r="H32" i="4"/>
  <c r="H36" i="4"/>
  <c r="H31" i="4"/>
  <c r="H27" i="4"/>
  <c r="F13" i="4" s="1"/>
  <c r="E13" i="4" s="1"/>
  <c r="H13" i="4" s="1"/>
  <c r="I13" i="4" s="1"/>
  <c r="H35" i="3"/>
  <c r="H39" i="3"/>
  <c r="N9" i="3"/>
  <c r="I3" i="3" s="1"/>
  <c r="H25" i="3"/>
  <c r="H34" i="3"/>
  <c r="G11" i="3"/>
  <c r="H22" i="3"/>
  <c r="G12" i="3"/>
  <c r="H38" i="3"/>
  <c r="H30" i="3"/>
  <c r="G9" i="3"/>
  <c r="H29" i="3"/>
  <c r="H34" i="2"/>
  <c r="H26" i="2"/>
  <c r="H38" i="2"/>
  <c r="H23" i="2"/>
  <c r="H22" i="2"/>
  <c r="H21" i="2"/>
  <c r="G11" i="2"/>
  <c r="G13" i="2"/>
  <c r="I3" i="2" s="1"/>
  <c r="G9" i="2"/>
  <c r="G12" i="2"/>
  <c r="H20" i="2"/>
  <c r="G10" i="2"/>
  <c r="H30" i="2"/>
  <c r="F10" i="4" l="1"/>
  <c r="E10" i="4" s="1"/>
  <c r="H10" i="4" s="1"/>
  <c r="I10" i="4" s="1"/>
  <c r="F9" i="3"/>
  <c r="E9" i="3" s="1"/>
  <c r="H9" i="3" s="1"/>
  <c r="I9" i="3" s="1"/>
  <c r="F12" i="3"/>
  <c r="E12" i="3" s="1"/>
  <c r="H12" i="3" s="1"/>
  <c r="I12" i="3" s="1"/>
  <c r="N8" i="4"/>
  <c r="N10" i="4" s="1"/>
  <c r="F11" i="3"/>
  <c r="E11" i="3" s="1"/>
  <c r="H11" i="3" s="1"/>
  <c r="I11" i="3" s="1"/>
  <c r="F12" i="5"/>
  <c r="E12" i="5" s="1"/>
  <c r="H12" i="5" s="1"/>
  <c r="I12" i="5" s="1"/>
  <c r="F9" i="5"/>
  <c r="E9" i="5" s="1"/>
  <c r="H9" i="5" s="1"/>
  <c r="I9" i="5" s="1"/>
  <c r="F13" i="5"/>
  <c r="E13" i="5" s="1"/>
  <c r="H13" i="5" s="1"/>
  <c r="I13" i="5" s="1"/>
  <c r="F10" i="5"/>
  <c r="E10" i="5" s="1"/>
  <c r="H10" i="5" s="1"/>
  <c r="I10" i="5" s="1"/>
  <c r="N8" i="5"/>
  <c r="F11" i="5"/>
  <c r="E11" i="5" s="1"/>
  <c r="H11" i="5" s="1"/>
  <c r="I11" i="5" s="1"/>
  <c r="F9" i="4"/>
  <c r="E9" i="4" s="1"/>
  <c r="H9" i="4" s="1"/>
  <c r="I9" i="4" s="1"/>
  <c r="F11" i="4"/>
  <c r="E11" i="4" s="1"/>
  <c r="H11" i="4" s="1"/>
  <c r="I11" i="4" s="1"/>
  <c r="F12" i="4"/>
  <c r="E12" i="4" s="1"/>
  <c r="H12" i="4" s="1"/>
  <c r="I12" i="4" s="1"/>
  <c r="N8" i="3"/>
  <c r="F10" i="3"/>
  <c r="E10" i="3" s="1"/>
  <c r="H10" i="3" s="1"/>
  <c r="I10" i="3" s="1"/>
  <c r="F13" i="3"/>
  <c r="E13" i="3" s="1"/>
  <c r="H13" i="3" s="1"/>
  <c r="I13" i="3" s="1"/>
  <c r="F13" i="2"/>
  <c r="F10" i="2"/>
  <c r="E10" i="2" s="1"/>
  <c r="H10" i="2" s="1"/>
  <c r="I10" i="2" s="1"/>
  <c r="F11" i="2"/>
  <c r="E11" i="2" s="1"/>
  <c r="H11" i="2" s="1"/>
  <c r="I11" i="2" s="1"/>
  <c r="F12" i="2"/>
  <c r="E12" i="2" s="1"/>
  <c r="H12" i="2" s="1"/>
  <c r="I12" i="2" s="1"/>
  <c r="F9" i="2"/>
  <c r="E9" i="2" s="1"/>
  <c r="H9" i="2" s="1"/>
  <c r="I9" i="2" s="1"/>
  <c r="I2" i="4" l="1"/>
  <c r="I4" i="4" s="1"/>
  <c r="I5" i="4" s="1"/>
  <c r="P13" i="4" s="1"/>
  <c r="I14" i="3"/>
  <c r="I2" i="5"/>
  <c r="I4" i="5" s="1"/>
  <c r="I5" i="5" s="1"/>
  <c r="N10" i="5"/>
  <c r="I14" i="5"/>
  <c r="I14" i="4"/>
  <c r="I2" i="3"/>
  <c r="I4" i="3" s="1"/>
  <c r="I5" i="3" s="1"/>
  <c r="N10" i="3"/>
  <c r="E13" i="2"/>
  <c r="H13" i="2" s="1"/>
  <c r="I13" i="2" s="1"/>
  <c r="I14" i="2" s="1"/>
  <c r="I2" i="2"/>
  <c r="I4" i="2" s="1"/>
  <c r="I5" i="2" s="1"/>
  <c r="P14" i="4" l="1"/>
  <c r="P15" i="4"/>
  <c r="P16" i="4"/>
  <c r="O13" i="5"/>
  <c r="O17" i="5"/>
  <c r="O16" i="5"/>
  <c r="O15" i="5"/>
  <c r="O14" i="5"/>
  <c r="P16" i="3"/>
  <c r="P15" i="3"/>
  <c r="P14" i="3"/>
  <c r="P13" i="3"/>
</calcChain>
</file>

<file path=xl/sharedStrings.xml><?xml version="1.0" encoding="utf-8"?>
<sst xmlns="http://schemas.openxmlformats.org/spreadsheetml/2006/main" count="206" uniqueCount="48">
  <si>
    <t>Value Date</t>
  </si>
  <si>
    <t>CONTRACT VALUATION</t>
  </si>
  <si>
    <t>Long/Short Protection</t>
  </si>
  <si>
    <t>L</t>
  </si>
  <si>
    <t>Protention Leg PV</t>
  </si>
  <si>
    <t>Market inputs</t>
  </si>
  <si>
    <t>Maturity Date</t>
  </si>
  <si>
    <t>Risky PV01</t>
  </si>
  <si>
    <t>LIBOR Zero Rate</t>
  </si>
  <si>
    <t>Contractual Spread</t>
  </si>
  <si>
    <t>Market CDS Spread</t>
  </si>
  <si>
    <t>Recovery Rate</t>
  </si>
  <si>
    <t>Notional</t>
  </si>
  <si>
    <t>Contract MTM</t>
  </si>
  <si>
    <t>FITTING</t>
  </si>
  <si>
    <t>Term</t>
  </si>
  <si>
    <t>MKT</t>
  </si>
  <si>
    <t>Model=Protection/PV01</t>
  </si>
  <si>
    <t>Protection PV</t>
  </si>
  <si>
    <t>RPV01</t>
  </si>
  <si>
    <t>1Y</t>
  </si>
  <si>
    <t>2Y</t>
  </si>
  <si>
    <t>3Y</t>
  </si>
  <si>
    <t>4Y</t>
  </si>
  <si>
    <t>5Y</t>
  </si>
  <si>
    <t>MINIMISE-&gt;</t>
  </si>
  <si>
    <t>PCD</t>
  </si>
  <si>
    <t>Payment dates also</t>
  </si>
  <si>
    <t>Yearfrac Function</t>
  </si>
  <si>
    <t>Piecewise flat</t>
  </si>
  <si>
    <t>Time in years</t>
  </si>
  <si>
    <t>used for protection leg</t>
  </si>
  <si>
    <t>ACT 360</t>
  </si>
  <si>
    <t>Hazard Rate Curve</t>
  </si>
  <si>
    <t>Days/365.242</t>
  </si>
  <si>
    <t>Q(t)</t>
  </si>
  <si>
    <t>-dQ(t)</t>
  </si>
  <si>
    <t>Z(0,t)</t>
  </si>
  <si>
    <t>3.5 CDS Market Spread</t>
  </si>
  <si>
    <t>Model=Prot/PV01</t>
  </si>
  <si>
    <t>DIFF = MARKET - MODEL</t>
  </si>
  <si>
    <t>DIFF^2</t>
  </si>
  <si>
    <t>Hazard Rate</t>
  </si>
  <si>
    <t>1bp increase on the 1Y spread</t>
  </si>
  <si>
    <t>1bp increase on the 2Y spread</t>
  </si>
  <si>
    <t>1bp increase on the 3Y spread</t>
  </si>
  <si>
    <t>1bp increase on the 5Y spread</t>
  </si>
  <si>
    <t>1bp increase on the 4Y 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</si>
</sst>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[$-409]d\-mmm\-yy;@"/>
    <numFmt numFmtId="165" formatCode="0.000000%"/>
    <numFmt numFmtId="166" formatCode="[$-409]dd\-mmm\-yy;@"/>
    <numFmt numFmtId="167" formatCode="0.000000"/>
    <numFmt numFmtId="168" formatCode="0.00000000"/>
    <numFmt numFmtId="169" formatCode="0.00000"/>
    <numFmt numFmtId="170" formatCode="0.000"/>
    <numFmt numFmtId="171" formatCode="0.0000%"/>
    <numFmt numFmtId="172" formatCode="0.000%"/>
    <numFmt numFmtId="173" formatCode="0.0000000"/>
    <numFmt numFmtId="174" formatCode="0.0000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3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6" xfId="0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2" borderId="0" xfId="0" quotePrefix="1" applyFont="1" applyFill="1" applyAlignment="1">
      <alignment horizontal="center"/>
    </xf>
    <xf numFmtId="0" fontId="0" fillId="0" borderId="9" xfId="0" applyBorder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71" fontId="2" fillId="3" borderId="0" xfId="0" applyNumberFormat="1" applyFont="1" applyFill="1" applyAlignment="1">
      <alignment horizontal="center"/>
    </xf>
    <xf numFmtId="171" fontId="2" fillId="4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7" fontId="0" fillId="5" borderId="0" xfId="0" applyNumberFormat="1" applyFill="1" applyAlignment="1">
      <alignment horizontal="center"/>
    </xf>
    <xf numFmtId="0" fontId="2" fillId="5" borderId="0" xfId="0" applyFont="1" applyFill="1" applyAlignment="1">
      <alignment horizontal="center"/>
    </xf>
    <xf numFmtId="170" fontId="2" fillId="5" borderId="0" xfId="0" applyNumberFormat="1" applyFont="1" applyFill="1" applyAlignment="1">
      <alignment horizontal="center"/>
    </xf>
    <xf numFmtId="172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8" fontId="6" fillId="2" borderId="0" xfId="0" applyNumberFormat="1" applyFont="1" applyFill="1" applyAlignment="1">
      <alignment horizontal="center"/>
    </xf>
    <xf numFmtId="3" fontId="2" fillId="6" borderId="0" xfId="0" applyNumberFormat="1" applyFont="1" applyFill="1" applyAlignment="1">
      <alignment horizontal="center"/>
    </xf>
    <xf numFmtId="167" fontId="2" fillId="5" borderId="0" xfId="0" applyNumberFormat="1" applyFont="1" applyFill="1" applyAlignment="1">
      <alignment horizontal="center"/>
    </xf>
    <xf numFmtId="0" fontId="4" fillId="0" borderId="2" xfId="0" applyFont="1" applyBorder="1" applyAlignment="1">
      <alignment horizontal="left"/>
    </xf>
    <xf numFmtId="0" fontId="2" fillId="7" borderId="0" xfId="0" applyFont="1" applyFill="1" applyAlignment="1">
      <alignment horizontal="center"/>
    </xf>
    <xf numFmtId="166" fontId="2" fillId="7" borderId="0" xfId="0" applyNumberFormat="1" applyFont="1" applyFill="1" applyAlignment="1">
      <alignment horizontal="center"/>
    </xf>
    <xf numFmtId="4" fontId="2" fillId="7" borderId="0" xfId="0" applyNumberFormat="1" applyFont="1" applyFill="1" applyAlignment="1">
      <alignment horizontal="center"/>
    </xf>
    <xf numFmtId="0" fontId="0" fillId="7" borderId="0" xfId="0" applyFill="1" applyAlignment="1">
      <alignment horizontal="center"/>
    </xf>
    <xf numFmtId="10" fontId="2" fillId="7" borderId="0" xfId="0" applyNumberFormat="1" applyFont="1" applyFill="1" applyAlignment="1">
      <alignment horizontal="center"/>
    </xf>
    <xf numFmtId="9" fontId="2" fillId="7" borderId="0" xfId="0" applyNumberFormat="1" applyFont="1" applyFill="1" applyAlignment="1">
      <alignment horizontal="center"/>
    </xf>
    <xf numFmtId="164" fontId="2" fillId="7" borderId="0" xfId="0" applyNumberFormat="1" applyFont="1" applyFill="1" applyAlignment="1">
      <alignment horizontal="center"/>
    </xf>
    <xf numFmtId="171" fontId="2" fillId="8" borderId="0" xfId="0" applyNumberFormat="1" applyFont="1" applyFill="1" applyAlignment="1">
      <alignment horizontal="center"/>
    </xf>
    <xf numFmtId="171" fontId="2" fillId="9" borderId="0" xfId="0" applyNumberFormat="1" applyFont="1" applyFill="1" applyAlignment="1">
      <alignment horizontal="center"/>
    </xf>
    <xf numFmtId="171" fontId="2" fillId="10" borderId="0" xfId="0" applyNumberFormat="1" applyFont="1" applyFill="1" applyAlignment="1">
      <alignment horizontal="center"/>
    </xf>
    <xf numFmtId="170" fontId="0" fillId="7" borderId="0" xfId="0" applyNumberFormat="1" applyFill="1" applyAlignment="1">
      <alignment horizontal="center"/>
    </xf>
    <xf numFmtId="165" fontId="2" fillId="11" borderId="0" xfId="1" applyNumberFormat="1" applyFont="1" applyFill="1" applyBorder="1" applyAlignment="1">
      <alignment horizontal="center"/>
    </xf>
    <xf numFmtId="167" fontId="2" fillId="11" borderId="0" xfId="0" applyNumberFormat="1" applyFont="1" applyFill="1" applyAlignment="1">
      <alignment horizontal="center"/>
    </xf>
    <xf numFmtId="10" fontId="2" fillId="11" borderId="0" xfId="1" applyNumberFormat="1" applyFont="1" applyFill="1" applyBorder="1" applyAlignment="1">
      <alignment horizontal="center"/>
    </xf>
    <xf numFmtId="0" fontId="5" fillId="12" borderId="8" xfId="0" applyFont="1" applyFill="1" applyBorder="1" applyAlignment="1">
      <alignment vertical="center"/>
    </xf>
    <xf numFmtId="0" fontId="5" fillId="12" borderId="10" xfId="0" applyFont="1" applyFill="1" applyBorder="1" applyAlignment="1">
      <alignment vertical="center"/>
    </xf>
    <xf numFmtId="170" fontId="2" fillId="7" borderId="0" xfId="0" applyNumberFormat="1" applyFont="1" applyFill="1" applyAlignment="1">
      <alignment horizontal="center"/>
    </xf>
    <xf numFmtId="173" fontId="2" fillId="5" borderId="0" xfId="0" applyNumberFormat="1" applyFont="1" applyFill="1" applyAlignment="1">
      <alignment horizontal="center"/>
    </xf>
    <xf numFmtId="165" fontId="2" fillId="5" borderId="0" xfId="1" applyNumberFormat="1" applyFont="1" applyFill="1" applyBorder="1" applyAlignment="1">
      <alignment horizontal="center"/>
    </xf>
    <xf numFmtId="174" fontId="2" fillId="5" borderId="0" xfId="1" applyNumberFormat="1" applyFont="1" applyFill="1" applyBorder="1" applyAlignment="1">
      <alignment horizontal="center"/>
    </xf>
    <xf numFmtId="165" fontId="2" fillId="5" borderId="0" xfId="0" applyNumberFormat="1" applyFont="1" applyFill="1" applyAlignment="1">
      <alignment horizont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'Chart CDS curb'!$C$2</c:f>
              <c:strCache>
                <c:ptCount val="1"/>
                <c:pt idx="0">
                  <c:v>Model=Prot/PV01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 CDS curb'!$B$3:$B$7</c:f>
              <c:strCache>
                <c:ptCount val="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</c:strCache>
            </c:strRef>
          </c:cat>
          <c:val>
            <c:numRef>
              <c:f>'Chart CDS curb'!$C$3:$C$7</c:f>
              <c:numCache>
                <c:formatCode>0.000</c:formatCode>
                <c:ptCount val="5"/>
                <c:pt idx="0">
                  <c:v>64.999999999649987</c:v>
                </c:pt>
                <c:pt idx="1">
                  <c:v>68.999999999444356</c:v>
                </c:pt>
                <c:pt idx="2">
                  <c:v>75.000000000334296</c:v>
                </c:pt>
                <c:pt idx="3">
                  <c:v>80.000000000058179</c:v>
                </c:pt>
                <c:pt idx="4">
                  <c:v>82.999999999957396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2-4E50-BAFE-20C511E9B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801536"/>
        <c:axId val="522805280"/>
      </c:lineChart>
      <c:catAx>
        <c:axId val="52280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2805280"/>
        <c:crosses val="autoZero"/>
        <c:auto val="1"/>
        <c:lblAlgn val="ctr"/>
        <c:lblOffset val="100"/>
        <c:noMultiLvlLbl val="0"/>
      </c:catAx>
      <c:valAx>
        <c:axId val="522805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2801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'Chart CDS curb'!$C$21</c:f>
              <c:strCache>
                <c:ptCount val="1"/>
                <c:pt idx="0">
                  <c:v>Hazard Rate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'Chart CDS curb'!$B$22:$B$26</c:f>
              <c:strCache>
                <c:ptCount val="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</c:strCache>
            </c:strRef>
          </c:cat>
          <c:val>
            <c:numRef>
              <c:f>'Chart CDS curb'!$C$22:$C$26</c:f>
              <c:numCache>
                <c:formatCode>0.000%</c:formatCode>
                <c:ptCount val="5"/>
                <c:pt idx="0">
                  <c:v>1.3369954678271602E-2</c:v>
                </c:pt>
                <c:pt idx="1">
                  <c:v>1.2534599951423994E-2</c:v>
                </c:pt>
                <c:pt idx="2">
                  <c:v>1.5097385707745506E-2</c:v>
                </c:pt>
                <c:pt idx="3">
                  <c:v>1.6519378016297531E-2</c:v>
                </c:pt>
                <c:pt idx="4">
                  <c:v>1.6434285997792453E-2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94-4B7C-9ED7-2F06A4F9F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799872"/>
        <c:axId val="522803616"/>
      </c:lineChart>
      <c:catAx>
        <c:axId val="52279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2803616"/>
        <c:crosses val="autoZero"/>
        <c:auto val="1"/>
        <c:lblAlgn val="ctr"/>
        <c:lblOffset val="100"/>
        <c:noMultiLvlLbl val="0"/>
      </c:catAx>
      <c:valAx>
        <c:axId val="522803616"/>
        <c:scaling>
          <c:orientation val="minMax"/>
          <c:min val="1.2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2799872"/>
        <c:crosses val="autoZero"/>
        <c:crossBetween val="midCat"/>
        <c:majorUnit val="1.0000000000000002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274320</xdr:colOff>
      <xdr:row>0</xdr:row>
      <xdr:rowOff>179070</xdr:rowOff>
    </xdr:from>
    <xdr:to>
      <xdr:col>12</xdr:col>
      <xdr:colOff>579120</xdr:colOff>
      <xdr:row>15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72081F-275F-B204-59FD-9718F63084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266700</xdr:colOff>
      <xdr:row>17</xdr:row>
      <xdr:rowOff>26670</xdr:rowOff>
    </xdr:from>
    <xdr:to>
      <xdr:col>12</xdr:col>
      <xdr:colOff>571500</xdr:colOff>
      <xdr:row>32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0E07F9-8FF2-A376-151C-64DE9D67D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0.37</cdr:x>
      <cdr:y>0.25972</cdr:y>
    </cdr:from>
    <cdr:to>
      <cdr:x>0.60833</cdr:x>
      <cdr:y>0.35694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9609C5E-742C-238D-44F6-019893692C65}"/>
            </a:ext>
          </a:extLst>
        </cdr:cNvPr>
        <cdr:cNvSpPr txBox="1"/>
      </cdr:nvSpPr>
      <cdr:spPr>
        <a:xfrm xmlns:a="http://schemas.openxmlformats.org/drawingml/2006/main">
          <a:off x="1691640" y="712470"/>
          <a:ext cx="108966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200" b="1">
              <a:solidFill>
                <a:schemeClr val="accent1"/>
              </a:solidFill>
            </a:rPr>
            <a:t>CDS Spread</a:t>
          </a:r>
        </a:p>
      </cdr:txBody>
    </cdr:sp>
  </cdr:relSizeAnchor>
  <cdr:relSizeAnchor xmlns:cdr="http://schemas.openxmlformats.org/drawingml/2006/chartDrawing">
    <cdr:from>
      <cdr:x>0.06833</cdr:x>
      <cdr:y>0.02917</cdr:y>
    </cdr:from>
    <cdr:to>
      <cdr:x>0.18333</cdr:x>
      <cdr:y>0.09861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C2BE1BA-D3A0-435C-8348-1C1F31C396FF}"/>
            </a:ext>
          </a:extLst>
        </cdr:cNvPr>
        <cdr:cNvSpPr txBox="1"/>
      </cdr:nvSpPr>
      <cdr:spPr>
        <a:xfrm xmlns:a="http://schemas.openxmlformats.org/drawingml/2006/main">
          <a:off x="312420" y="80010"/>
          <a:ext cx="52578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100" b="1"/>
            <a:t>bps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0.37</cdr:x>
      <cdr:y>0.24306</cdr:y>
    </cdr:from>
    <cdr:to>
      <cdr:x>0.60333</cdr:x>
      <cdr:y>0.36806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6335D5A-53BD-C1DA-12D1-A59671028333}"/>
            </a:ext>
          </a:extLst>
        </cdr:cNvPr>
        <cdr:cNvSpPr txBox="1"/>
      </cdr:nvSpPr>
      <cdr:spPr>
        <a:xfrm xmlns:a="http://schemas.openxmlformats.org/drawingml/2006/main">
          <a:off x="1691640" y="666750"/>
          <a:ext cx="1066800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200" b="1">
              <a:solidFill>
                <a:srgbClr val="FF0000"/>
              </a:solidFill>
            </a:rPr>
            <a:t>Hazard Rate</a:t>
          </a: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0A60-25DB-46BD-BEA3-96C9D42A75A1}">
  <sheetPr codeName="Sheet1"/>
  <dimension ref="A1:J40"/>
  <sheetViews>
    <sheetView showGridLines="0" zoomScale="70" zoomScaleNormal="70" workbookViewId="0">
      <selection activeCell="F26" sqref="F26"/>
    </sheetView>
  </sheetViews>
  <sheetFormatPr defaultRowHeight="14.4" x14ac:dyDescent="0.3"/>
  <cols>
    <col min="1" max="1" width="7.88671875" style="5" customWidth="1"/>
    <col min="2" max="2" width="21.109375" style="5" bestFit="1" customWidth="1"/>
    <col min="3" max="3" width="20.21875" style="5" customWidth="1"/>
    <col min="4" max="4" width="10.5546875" style="5" customWidth="1"/>
    <col min="5" max="5" width="23.5546875" style="5" bestFit="1" customWidth="1"/>
    <col min="6" max="6" width="20.21875" style="5" customWidth="1"/>
    <col min="7" max="7" width="17.21875" style="5" customWidth="1"/>
    <col min="8" max="8" width="26" style="5" customWidth="1"/>
    <col min="9" max="9" width="18.44140625" style="5" customWidth="1"/>
    <col min="10" max="16384" width="8.88671875" style="5"/>
  </cols>
  <sheetData>
    <row r="1" spans="1:10" x14ac:dyDescent="0.3">
      <c r="B1" s="1" t="s">
        <v>0</v>
      </c>
      <c r="C1" s="41">
        <v>40577</v>
      </c>
      <c r="D1" s="2"/>
      <c r="E1" s="2"/>
      <c r="F1" s="34" t="s">
        <v>1</v>
      </c>
      <c r="G1" s="4"/>
      <c r="H1" s="4"/>
      <c r="I1" s="4"/>
    </row>
    <row r="2" spans="1:10" x14ac:dyDescent="0.3">
      <c r="B2" s="2"/>
      <c r="C2" s="2"/>
      <c r="D2" s="2"/>
      <c r="E2" s="6"/>
      <c r="F2" s="7" t="s">
        <v>2</v>
      </c>
      <c r="G2" s="35" t="s">
        <v>3</v>
      </c>
      <c r="H2" s="7" t="s">
        <v>4</v>
      </c>
      <c r="I2" s="54">
        <f>F13</f>
        <v>3.3467416806406448E-2</v>
      </c>
      <c r="J2" s="8"/>
    </row>
    <row r="3" spans="1:10" x14ac:dyDescent="0.3">
      <c r="A3" s="12"/>
      <c r="B3" s="34" t="s">
        <v>5</v>
      </c>
      <c r="C3" s="4"/>
      <c r="D3" s="2"/>
      <c r="E3" s="6"/>
      <c r="F3" s="7" t="s">
        <v>6</v>
      </c>
      <c r="G3" s="36">
        <v>42449</v>
      </c>
      <c r="H3" s="7" t="s">
        <v>7</v>
      </c>
      <c r="I3" s="33">
        <f>G13</f>
        <v>4.7810595437721668</v>
      </c>
      <c r="J3" s="8"/>
    </row>
    <row r="4" spans="1:10" x14ac:dyDescent="0.3">
      <c r="A4" s="21"/>
      <c r="B4" s="7" t="s">
        <v>8</v>
      </c>
      <c r="C4" s="39">
        <v>0.03</v>
      </c>
      <c r="D4" s="9"/>
      <c r="E4" s="6"/>
      <c r="F4" s="7" t="s">
        <v>9</v>
      </c>
      <c r="G4" s="35">
        <v>100</v>
      </c>
      <c r="H4" s="7" t="s">
        <v>10</v>
      </c>
      <c r="I4" s="33">
        <f>I2*10000/I3</f>
        <v>70.000000000002672</v>
      </c>
      <c r="J4" s="8"/>
    </row>
    <row r="5" spans="1:10" x14ac:dyDescent="0.3">
      <c r="A5" s="21"/>
      <c r="B5" s="7" t="s">
        <v>11</v>
      </c>
      <c r="C5" s="40">
        <v>0.4</v>
      </c>
      <c r="D5" s="9"/>
      <c r="E5" s="6"/>
      <c r="F5" s="7" t="s">
        <v>12</v>
      </c>
      <c r="G5" s="37">
        <v>10000000</v>
      </c>
      <c r="H5" s="7" t="s">
        <v>13</v>
      </c>
      <c r="I5" s="32">
        <f>IF(G2="L",1,-1)*((I4-G4)*G5/10000)*I3</f>
        <v>-143431.78631315223</v>
      </c>
      <c r="J5" s="8"/>
    </row>
    <row r="6" spans="1:10" x14ac:dyDescent="0.3">
      <c r="A6" s="11"/>
      <c r="B6" s="10"/>
      <c r="C6" s="11"/>
      <c r="F6" s="11"/>
      <c r="G6" s="11"/>
      <c r="H6" s="11"/>
      <c r="I6" s="11"/>
    </row>
    <row r="7" spans="1:10" x14ac:dyDescent="0.3">
      <c r="A7" s="12"/>
      <c r="B7" s="34" t="s">
        <v>14</v>
      </c>
      <c r="C7" s="12"/>
      <c r="D7" s="12"/>
      <c r="E7" s="12"/>
      <c r="F7" s="12"/>
      <c r="G7" s="12"/>
      <c r="H7" s="12"/>
      <c r="I7" s="12"/>
    </row>
    <row r="8" spans="1:10" x14ac:dyDescent="0.3">
      <c r="A8" s="21"/>
      <c r="B8" s="7" t="s">
        <v>15</v>
      </c>
      <c r="C8" s="7" t="s">
        <v>42</v>
      </c>
      <c r="D8" s="7" t="s">
        <v>16</v>
      </c>
      <c r="E8" s="7" t="s">
        <v>39</v>
      </c>
      <c r="F8" s="7" t="s">
        <v>18</v>
      </c>
      <c r="G8" s="7" t="s">
        <v>19</v>
      </c>
      <c r="H8" s="7" t="s">
        <v>40</v>
      </c>
      <c r="I8" s="7" t="s">
        <v>41</v>
      </c>
      <c r="J8" s="8"/>
    </row>
    <row r="9" spans="1:10" x14ac:dyDescent="0.3">
      <c r="A9" s="21"/>
      <c r="B9" s="27" t="s">
        <v>20</v>
      </c>
      <c r="C9" s="29">
        <v>1.1295293680962198E-2</v>
      </c>
      <c r="D9" s="38">
        <v>60</v>
      </c>
      <c r="E9" s="28">
        <f>F9*10000/G9</f>
        <v>59.999999999990308</v>
      </c>
      <c r="F9" s="53">
        <f>(1-$C$5)*SUMPRODUCT($H$19:H23,$I$19:I23)</f>
        <v>7.4077091640968934E-3</v>
      </c>
      <c r="G9" s="55">
        <f>SUMPRODUCT($C$19:C23,$G$19:G23,$I$19:I23)</f>
        <v>1.2346181940163483</v>
      </c>
      <c r="H9" s="52">
        <f>D9-E9</f>
        <v>9.6918029157677665E-12</v>
      </c>
      <c r="I9" s="52">
        <f>H9^2</f>
        <v>9.3931043758084581E-23</v>
      </c>
      <c r="J9" s="8"/>
    </row>
    <row r="10" spans="1:10" x14ac:dyDescent="0.3">
      <c r="A10" s="21"/>
      <c r="B10" s="27" t="s">
        <v>21</v>
      </c>
      <c r="C10" s="29">
        <v>1.2079850319417704E-2</v>
      </c>
      <c r="D10" s="38">
        <v>65</v>
      </c>
      <c r="E10" s="28">
        <f t="shared" ref="E10:E13" si="0">F10*10000/G10</f>
        <v>64.999999999960934</v>
      </c>
      <c r="F10" s="53">
        <f>(1-$C$5)*SUMPRODUCT($H$19:H27,$I$19:I27)</f>
        <v>1.4153980064388932E-2</v>
      </c>
      <c r="G10" s="55">
        <f>SUMPRODUCT($C$19:C27,$G$19:G27,$I$19:I27)</f>
        <v>2.1775353945226827</v>
      </c>
      <c r="H10" s="52">
        <f t="shared" ref="H10:H13" si="1">D10-E10</f>
        <v>3.9065639612090308E-11</v>
      </c>
      <c r="I10" s="52">
        <f t="shared" ref="I10:I13" si="2">H10^2</f>
        <v>1.5261241983017194E-21</v>
      </c>
      <c r="J10" s="8"/>
    </row>
    <row r="11" spans="1:10" x14ac:dyDescent="0.3">
      <c r="A11" s="21"/>
      <c r="B11" s="27" t="s">
        <v>22</v>
      </c>
      <c r="C11" s="29">
        <v>1.212543918000774E-2</v>
      </c>
      <c r="D11" s="38">
        <v>67</v>
      </c>
      <c r="E11" s="28">
        <f t="shared" si="0"/>
        <v>66.999999999974477</v>
      </c>
      <c r="F11" s="53">
        <f>(1-$C$5)*SUMPRODUCT($H$19:H31,$I$19:I31)</f>
        <v>2.0646703978946784E-2</v>
      </c>
      <c r="G11" s="55">
        <f>SUMPRODUCT($C$19:C31,$G$19:G31,$I$19:I31)</f>
        <v>3.0815976087992012</v>
      </c>
      <c r="H11" s="52">
        <f t="shared" si="1"/>
        <v>2.5522695068502799E-11</v>
      </c>
      <c r="I11" s="52">
        <f t="shared" si="2"/>
        <v>6.5140796355977708E-22</v>
      </c>
      <c r="J11" s="8"/>
    </row>
    <row r="12" spans="1:10" x14ac:dyDescent="0.3">
      <c r="A12" s="21"/>
      <c r="B12" s="27" t="s">
        <v>23</v>
      </c>
      <c r="C12" s="29">
        <v>1.2081244741386559E-2</v>
      </c>
      <c r="D12" s="38">
        <v>68</v>
      </c>
      <c r="E12" s="28">
        <f t="shared" si="0"/>
        <v>67.999999999993889</v>
      </c>
      <c r="F12" s="53">
        <f>(1-$C$5)*SUMPRODUCT($H$19:H35,$I$19:I35)</f>
        <v>2.6849220689418276E-2</v>
      </c>
      <c r="G12" s="55">
        <f>SUMPRODUCT($C$19:C35,$G$19:G35,$I$19:I35)</f>
        <v>3.9484148072677483</v>
      </c>
      <c r="H12" s="52">
        <f t="shared" si="1"/>
        <v>6.1106675275368616E-12</v>
      </c>
      <c r="I12" s="52">
        <f t="shared" si="2"/>
        <v>3.7340257632093461E-23</v>
      </c>
      <c r="J12" s="8"/>
    </row>
    <row r="13" spans="1:10" x14ac:dyDescent="0.3">
      <c r="A13" s="21"/>
      <c r="B13" s="27" t="s">
        <v>24</v>
      </c>
      <c r="C13" s="29">
        <v>1.3417656499816291E-2</v>
      </c>
      <c r="D13" s="38">
        <v>70</v>
      </c>
      <c r="E13" s="28">
        <f t="shared" si="0"/>
        <v>70.000000000002672</v>
      </c>
      <c r="F13" s="53">
        <f>(1-$C$5)*SUMPRODUCT($H$19:H39,$I$19:I39)</f>
        <v>3.3467416806406448E-2</v>
      </c>
      <c r="G13" s="55">
        <f>SUMPRODUCT($C$19:C39,$G$19:G39,$I$19:I39)</f>
        <v>4.7810595437721668</v>
      </c>
      <c r="H13" s="52">
        <f t="shared" si="1"/>
        <v>-2.6716406864579767E-12</v>
      </c>
      <c r="I13" s="52">
        <f t="shared" si="2"/>
        <v>7.137663957537649E-24</v>
      </c>
      <c r="J13" s="8"/>
    </row>
    <row r="14" spans="1:10" x14ac:dyDescent="0.3">
      <c r="A14" s="11"/>
      <c r="B14" s="11"/>
      <c r="C14" s="11"/>
      <c r="D14" s="11"/>
      <c r="E14" s="11"/>
      <c r="F14" s="11"/>
      <c r="G14" s="14"/>
      <c r="H14" s="30" t="s">
        <v>25</v>
      </c>
      <c r="I14" s="31">
        <f>AVERAGE(I9:I13)</f>
        <v>4.6318822544184244E-22</v>
      </c>
      <c r="J14" s="8"/>
    </row>
    <row r="15" spans="1:10" x14ac:dyDescent="0.3">
      <c r="A15" s="12"/>
      <c r="B15" s="3" t="s">
        <v>26</v>
      </c>
      <c r="C15" s="15">
        <v>40532</v>
      </c>
      <c r="E15" s="12"/>
      <c r="F15" s="12"/>
      <c r="H15" s="11"/>
      <c r="I15" s="11"/>
    </row>
    <row r="16" spans="1:10" x14ac:dyDescent="0.3">
      <c r="A16" s="21"/>
      <c r="B16" s="7" t="s">
        <v>27</v>
      </c>
      <c r="C16" s="7" t="s">
        <v>28</v>
      </c>
      <c r="D16" s="16"/>
      <c r="E16" s="7" t="s">
        <v>29</v>
      </c>
      <c r="F16" s="7" t="s">
        <v>30</v>
      </c>
      <c r="G16" s="17"/>
      <c r="H16" s="12"/>
      <c r="I16" s="12"/>
    </row>
    <row r="17" spans="1:10" x14ac:dyDescent="0.3">
      <c r="A17" s="21"/>
      <c r="B17" s="7" t="s">
        <v>31</v>
      </c>
      <c r="C17" s="7" t="s">
        <v>32</v>
      </c>
      <c r="D17" s="16"/>
      <c r="E17" s="7" t="s">
        <v>33</v>
      </c>
      <c r="F17" s="7" t="s">
        <v>34</v>
      </c>
      <c r="G17" s="7" t="s">
        <v>35</v>
      </c>
      <c r="H17" s="18" t="s">
        <v>36</v>
      </c>
      <c r="I17" s="13" t="s">
        <v>37</v>
      </c>
      <c r="J17" s="8"/>
    </row>
    <row r="18" spans="1:10" x14ac:dyDescent="0.3">
      <c r="A18" s="21"/>
      <c r="B18" s="24">
        <f>C1+1</f>
        <v>40578</v>
      </c>
      <c r="C18" s="25"/>
      <c r="D18" s="8"/>
      <c r="E18" s="19"/>
      <c r="F18" s="25">
        <f>(B18-$B$18)*252/360</f>
        <v>0</v>
      </c>
      <c r="G18" s="7">
        <f>EXP(E19*F18)</f>
        <v>1</v>
      </c>
      <c r="H18" s="25"/>
      <c r="I18" s="25">
        <f>EXP(-F18*$C$4)</f>
        <v>1</v>
      </c>
      <c r="J18" s="8"/>
    </row>
    <row r="19" spans="1:10" x14ac:dyDescent="0.3">
      <c r="A19" s="21"/>
      <c r="B19" s="24">
        <v>40622</v>
      </c>
      <c r="C19" s="26">
        <f>(B19-C15)/360</f>
        <v>0.25</v>
      </c>
      <c r="D19" s="16"/>
      <c r="E19" s="43">
        <f>$C$9</f>
        <v>1.1295293680962198E-2</v>
      </c>
      <c r="F19" s="26">
        <f>(B19-$B$18)/365.242</f>
        <v>0.12046807322268523</v>
      </c>
      <c r="G19" s="20">
        <f>EXP(-E19*F19)</f>
        <v>0.99864020309654489</v>
      </c>
      <c r="H19" s="26">
        <f>G18-G19</f>
        <v>1.3597969034551127E-3</v>
      </c>
      <c r="I19" s="26">
        <f>EXP(-F19*$C$4)</f>
        <v>0.99639248059357344</v>
      </c>
      <c r="J19" s="8"/>
    </row>
    <row r="20" spans="1:10" x14ac:dyDescent="0.3">
      <c r="A20" s="21"/>
      <c r="B20" s="24">
        <v>40714</v>
      </c>
      <c r="C20" s="26">
        <f>(B20-B19)/360</f>
        <v>0.25555555555555554</v>
      </c>
      <c r="D20" s="16"/>
      <c r="E20" s="43">
        <f t="shared" ref="E20:E23" si="3">$C$9</f>
        <v>1.1295293680962198E-2</v>
      </c>
      <c r="F20" s="26">
        <f t="shared" ref="F20:F39" si="4">(B20-$B$18)/365.242</f>
        <v>0.37235586268829979</v>
      </c>
      <c r="G20" s="20">
        <f t="shared" ref="G20:G23" si="5">EXP(-E20*F20)</f>
        <v>0.99580296345657704</v>
      </c>
      <c r="H20" s="26">
        <f t="shared" ref="H20:H39" si="6">G19-G20</f>
        <v>2.8372396399678479E-3</v>
      </c>
      <c r="I20" s="26">
        <f t="shared" ref="I20:I39" si="7">EXP(-F20*$C$4)</f>
        <v>0.98889148444624386</v>
      </c>
      <c r="J20" s="8"/>
    </row>
    <row r="21" spans="1:10" x14ac:dyDescent="0.3">
      <c r="A21" s="21"/>
      <c r="B21" s="24">
        <v>40806</v>
      </c>
      <c r="C21" s="26">
        <f t="shared" ref="C21:C39" si="8">(B21-B20)/360</f>
        <v>0.25555555555555554</v>
      </c>
      <c r="D21" s="16"/>
      <c r="E21" s="43">
        <f t="shared" si="3"/>
        <v>1.1295293680962198E-2</v>
      </c>
      <c r="F21" s="26">
        <f t="shared" si="4"/>
        <v>0.62424365215391431</v>
      </c>
      <c r="G21" s="20">
        <f t="shared" si="5"/>
        <v>0.99297378470655695</v>
      </c>
      <c r="H21" s="26">
        <f t="shared" si="6"/>
        <v>2.8291787500200893E-3</v>
      </c>
      <c r="I21" s="26">
        <f t="shared" si="7"/>
        <v>0.98144695695388529</v>
      </c>
      <c r="J21" s="8"/>
    </row>
    <row r="22" spans="1:10" x14ac:dyDescent="0.3">
      <c r="A22" s="21"/>
      <c r="B22" s="24">
        <v>40897</v>
      </c>
      <c r="C22" s="26">
        <f t="shared" si="8"/>
        <v>0.25277777777777777</v>
      </c>
      <c r="D22" s="16"/>
      <c r="E22" s="43">
        <f t="shared" si="3"/>
        <v>1.1295293680962198E-2</v>
      </c>
      <c r="F22" s="26">
        <f t="shared" si="4"/>
        <v>0.87339353086446792</v>
      </c>
      <c r="G22" s="20">
        <f t="shared" si="5"/>
        <v>0.99018326538973711</v>
      </c>
      <c r="H22" s="26">
        <f t="shared" si="6"/>
        <v>2.7905193168198394E-3</v>
      </c>
      <c r="I22" s="26">
        <f t="shared" si="7"/>
        <v>0.97413848285269233</v>
      </c>
      <c r="J22" s="8"/>
    </row>
    <row r="23" spans="1:10" x14ac:dyDescent="0.3">
      <c r="A23" s="21"/>
      <c r="B23" s="24">
        <v>40988</v>
      </c>
      <c r="C23" s="26">
        <f t="shared" si="8"/>
        <v>0.25277777777777777</v>
      </c>
      <c r="D23" s="16"/>
      <c r="E23" s="43">
        <f t="shared" si="3"/>
        <v>1.1295293680962198E-2</v>
      </c>
      <c r="F23" s="26">
        <f t="shared" si="4"/>
        <v>1.1225434095750215</v>
      </c>
      <c r="G23" s="20">
        <f t="shared" si="5"/>
        <v>0.9874005881712461</v>
      </c>
      <c r="H23" s="26">
        <f t="shared" si="6"/>
        <v>2.7826772184910142E-3</v>
      </c>
      <c r="I23" s="26">
        <f t="shared" si="7"/>
        <v>0.96688443226701304</v>
      </c>
      <c r="J23" s="8"/>
    </row>
    <row r="24" spans="1:10" x14ac:dyDescent="0.3">
      <c r="A24" s="21"/>
      <c r="B24" s="24">
        <v>41080</v>
      </c>
      <c r="C24" s="26">
        <f t="shared" si="8"/>
        <v>0.25555555555555554</v>
      </c>
      <c r="D24" s="16"/>
      <c r="E24" s="42">
        <f>$C$10</f>
        <v>1.2079850319417704E-2</v>
      </c>
      <c r="F24" s="26">
        <f t="shared" si="4"/>
        <v>1.3744311990406359</v>
      </c>
      <c r="G24" s="20">
        <f>EXP(-$E$23*$F$23-(F24-$F$23)*E24)</f>
        <v>0.98440072470612028</v>
      </c>
      <c r="H24" s="26">
        <f t="shared" si="6"/>
        <v>2.9998634651258183E-3</v>
      </c>
      <c r="I24" s="26">
        <f t="shared" si="7"/>
        <v>0.95960557725495277</v>
      </c>
      <c r="J24" s="8"/>
    </row>
    <row r="25" spans="1:10" x14ac:dyDescent="0.3">
      <c r="A25" s="21"/>
      <c r="B25" s="24">
        <v>41172</v>
      </c>
      <c r="C25" s="26">
        <f t="shared" si="8"/>
        <v>0.25555555555555554</v>
      </c>
      <c r="D25" s="16"/>
      <c r="E25" s="42">
        <f t="shared" ref="E25:E27" si="9">$C$10</f>
        <v>1.2079850319417704E-2</v>
      </c>
      <c r="F25" s="26">
        <f t="shared" si="4"/>
        <v>1.6263189885062506</v>
      </c>
      <c r="G25" s="20">
        <f t="shared" ref="G25:G27" si="10">EXP(-$E$23*$F$23-(F25-$F$23)*E25)</f>
        <v>0.98140997525299445</v>
      </c>
      <c r="H25" s="26">
        <f t="shared" si="6"/>
        <v>2.9907494531258294E-3</v>
      </c>
      <c r="I25" s="26">
        <f t="shared" si="7"/>
        <v>0.95238151858516307</v>
      </c>
      <c r="J25" s="8"/>
    </row>
    <row r="26" spans="1:10" x14ac:dyDescent="0.3">
      <c r="A26" s="21"/>
      <c r="B26" s="24">
        <v>41263</v>
      </c>
      <c r="C26" s="26">
        <f t="shared" si="8"/>
        <v>0.25277777777777777</v>
      </c>
      <c r="D26" s="16"/>
      <c r="E26" s="42">
        <f t="shared" si="9"/>
        <v>1.2079850319417704E-2</v>
      </c>
      <c r="F26" s="26">
        <f t="shared" si="4"/>
        <v>1.8754688672168041</v>
      </c>
      <c r="G26" s="20">
        <f t="shared" si="10"/>
        <v>0.97846067275710702</v>
      </c>
      <c r="H26" s="26">
        <f t="shared" si="6"/>
        <v>2.9493024958874292E-3</v>
      </c>
      <c r="I26" s="26">
        <f t="shared" si="7"/>
        <v>0.9452894841010604</v>
      </c>
      <c r="J26" s="8"/>
    </row>
    <row r="27" spans="1:10" x14ac:dyDescent="0.3">
      <c r="A27" s="21"/>
      <c r="B27" s="24">
        <v>41353</v>
      </c>
      <c r="C27" s="26">
        <f t="shared" si="8"/>
        <v>0.25</v>
      </c>
      <c r="D27" s="16"/>
      <c r="E27" s="42">
        <f t="shared" si="9"/>
        <v>1.2079850319417704E-2</v>
      </c>
      <c r="F27" s="26">
        <f t="shared" si="4"/>
        <v>2.1218808351722966</v>
      </c>
      <c r="G27" s="20">
        <f t="shared" si="10"/>
        <v>0.97555249786545639</v>
      </c>
      <c r="H27" s="26">
        <f t="shared" si="6"/>
        <v>2.9081748916506278E-3</v>
      </c>
      <c r="I27" s="26">
        <f t="shared" si="7"/>
        <v>0.93832732991584589</v>
      </c>
      <c r="J27" s="8"/>
    </row>
    <row r="28" spans="1:10" x14ac:dyDescent="0.3">
      <c r="A28" s="21"/>
      <c r="B28" s="24">
        <v>41445</v>
      </c>
      <c r="C28" s="26">
        <f t="shared" si="8"/>
        <v>0.25555555555555554</v>
      </c>
      <c r="D28" s="16"/>
      <c r="E28" s="44">
        <f>$C$11</f>
        <v>1.212543918000774E-2</v>
      </c>
      <c r="F28" s="26">
        <f t="shared" si="4"/>
        <v>2.3737686246379113</v>
      </c>
      <c r="G28" s="20">
        <f>EXP(-$E$23*$F$23-($F$27-$F$23)*$E$27-(F28-$F$27)*E28)</f>
        <v>0.9725774621434804</v>
      </c>
      <c r="H28" s="26">
        <f t="shared" si="6"/>
        <v>2.9750357219759938E-3</v>
      </c>
      <c r="I28" s="26">
        <f t="shared" si="7"/>
        <v>0.9312634571712024</v>
      </c>
      <c r="J28" s="8"/>
    </row>
    <row r="29" spans="1:10" x14ac:dyDescent="0.3">
      <c r="A29" s="21"/>
      <c r="B29" s="24">
        <v>41537</v>
      </c>
      <c r="C29" s="26">
        <f t="shared" si="8"/>
        <v>0.25555555555555554</v>
      </c>
      <c r="D29" s="16"/>
      <c r="E29" s="44">
        <f t="shared" ref="E29:E31" si="11">$C$11</f>
        <v>1.212543918000774E-2</v>
      </c>
      <c r="F29" s="26">
        <f t="shared" si="4"/>
        <v>2.6256564141035259</v>
      </c>
      <c r="G29" s="20">
        <f t="shared" ref="G29:G31" si="12">EXP(-$E$23*$F$23-($F$27-$F$23)*$E$27-(F29-$F$27)*E29)</f>
        <v>0.96961149906246058</v>
      </c>
      <c r="H29" s="26">
        <f t="shared" si="6"/>
        <v>2.9659630810198179E-3</v>
      </c>
      <c r="I29" s="26">
        <f t="shared" si="7"/>
        <v>0.92425276234918952</v>
      </c>
      <c r="J29" s="8"/>
    </row>
    <row r="30" spans="1:10" x14ac:dyDescent="0.3">
      <c r="A30" s="21"/>
      <c r="B30" s="24">
        <v>41628</v>
      </c>
      <c r="C30" s="26">
        <f t="shared" si="8"/>
        <v>0.25277777777777777</v>
      </c>
      <c r="D30" s="16"/>
      <c r="E30" s="44">
        <f t="shared" si="11"/>
        <v>1.212543918000774E-2</v>
      </c>
      <c r="F30" s="26">
        <f t="shared" si="4"/>
        <v>2.8748062928140792</v>
      </c>
      <c r="G30" s="20">
        <f t="shared" si="12"/>
        <v>0.96668667284402277</v>
      </c>
      <c r="H30" s="26">
        <f t="shared" si="6"/>
        <v>2.9248262184378149E-3</v>
      </c>
      <c r="I30" s="26">
        <f t="shared" si="7"/>
        <v>0.91737019235523865</v>
      </c>
      <c r="J30" s="8"/>
    </row>
    <row r="31" spans="1:10" x14ac:dyDescent="0.3">
      <c r="A31" s="21"/>
      <c r="B31" s="24">
        <v>41718</v>
      </c>
      <c r="C31" s="26">
        <f t="shared" si="8"/>
        <v>0.25</v>
      </c>
      <c r="D31" s="16"/>
      <c r="E31" s="44">
        <f t="shared" si="11"/>
        <v>1.212543918000774E-2</v>
      </c>
      <c r="F31" s="26">
        <f t="shared" si="4"/>
        <v>3.121218260769572</v>
      </c>
      <c r="G31" s="20">
        <f t="shared" si="12"/>
        <v>0.9638026654898656</v>
      </c>
      <c r="H31" s="26">
        <f t="shared" si="6"/>
        <v>2.8840073541571698E-3</v>
      </c>
      <c r="I31" s="26">
        <f t="shared" si="7"/>
        <v>0.91061366662262588</v>
      </c>
      <c r="J31" s="8"/>
    </row>
    <row r="32" spans="1:10" x14ac:dyDescent="0.3">
      <c r="A32" s="21"/>
      <c r="B32" s="24">
        <v>41810</v>
      </c>
      <c r="C32" s="26">
        <f t="shared" si="8"/>
        <v>0.25555555555555554</v>
      </c>
      <c r="D32" s="16"/>
      <c r="E32" s="22">
        <f>$C$12</f>
        <v>1.2081244741386559E-2</v>
      </c>
      <c r="F32" s="26">
        <f t="shared" si="4"/>
        <v>3.3731060502351862</v>
      </c>
      <c r="G32" s="20">
        <f>EXP(-$E$23*$F$23-($F$27-$F$23)*$E$27-($F$31-$F$27)*$E$31-(F32-$F$31)*E32)</f>
        <v>0.96087415837569157</v>
      </c>
      <c r="H32" s="26">
        <f t="shared" si="6"/>
        <v>2.9285071141740282E-3</v>
      </c>
      <c r="I32" s="26">
        <f t="shared" si="7"/>
        <v>0.90375842660618899</v>
      </c>
      <c r="J32" s="8"/>
    </row>
    <row r="33" spans="1:10" x14ac:dyDescent="0.3">
      <c r="A33" s="21"/>
      <c r="B33" s="24">
        <v>41902</v>
      </c>
      <c r="C33" s="26">
        <f t="shared" si="8"/>
        <v>0.25555555555555554</v>
      </c>
      <c r="D33" s="16"/>
      <c r="E33" s="22">
        <f t="shared" ref="E33:E35" si="13">$C$12</f>
        <v>1.2081244741386559E-2</v>
      </c>
      <c r="F33" s="26">
        <f t="shared" si="4"/>
        <v>3.6249938397008008</v>
      </c>
      <c r="G33" s="20">
        <f t="shared" ref="G33:G35" si="14">EXP(-$E$23*$F$23-($F$27-$F$23)*$E$27-($F$31-$F$27)*$E$31-(F33-$F$31)*E33)</f>
        <v>0.95795454950824865</v>
      </c>
      <c r="H33" s="26">
        <f t="shared" si="6"/>
        <v>2.9196088674429133E-3</v>
      </c>
      <c r="I33" s="26">
        <f t="shared" si="7"/>
        <v>0.89695479389305255</v>
      </c>
      <c r="J33" s="8"/>
    </row>
    <row r="34" spans="1:10" x14ac:dyDescent="0.3">
      <c r="A34" s="21"/>
      <c r="B34" s="24">
        <v>41993</v>
      </c>
      <c r="C34" s="26">
        <f t="shared" si="8"/>
        <v>0.25277777777777777</v>
      </c>
      <c r="D34" s="16"/>
      <c r="E34" s="22">
        <f t="shared" si="13"/>
        <v>1.2081244741386559E-2</v>
      </c>
      <c r="F34" s="26">
        <f t="shared" si="4"/>
        <v>3.8741437184113545</v>
      </c>
      <c r="G34" s="20">
        <f t="shared" si="14"/>
        <v>0.95507540271019675</v>
      </c>
      <c r="H34" s="26">
        <f t="shared" si="6"/>
        <v>2.8791467980519014E-3</v>
      </c>
      <c r="I34" s="26">
        <f t="shared" si="7"/>
        <v>0.89027550181856874</v>
      </c>
      <c r="J34" s="8"/>
    </row>
    <row r="35" spans="1:10" x14ac:dyDescent="0.3">
      <c r="A35" s="21"/>
      <c r="B35" s="24">
        <v>42083</v>
      </c>
      <c r="C35" s="26">
        <f t="shared" si="8"/>
        <v>0.25</v>
      </c>
      <c r="D35" s="16"/>
      <c r="E35" s="22">
        <f t="shared" si="13"/>
        <v>1.2081244741386559E-2</v>
      </c>
      <c r="F35" s="26">
        <f t="shared" si="4"/>
        <v>4.1205556863668473</v>
      </c>
      <c r="G35" s="20">
        <f t="shared" si="14"/>
        <v>0.95223640618605421</v>
      </c>
      <c r="H35" s="26">
        <f t="shared" si="6"/>
        <v>2.8389965241425452E-3</v>
      </c>
      <c r="I35" s="26">
        <f t="shared" si="7"/>
        <v>0.88371853126591915</v>
      </c>
      <c r="J35" s="8"/>
    </row>
    <row r="36" spans="1:10" x14ac:dyDescent="0.3">
      <c r="A36" s="21"/>
      <c r="B36" s="24">
        <v>42175</v>
      </c>
      <c r="C36" s="26">
        <f t="shared" si="8"/>
        <v>0.25555555555555554</v>
      </c>
      <c r="D36" s="16"/>
      <c r="E36" s="23">
        <f>$C$13</f>
        <v>1.3417656499816291E-2</v>
      </c>
      <c r="F36" s="26">
        <f t="shared" si="4"/>
        <v>4.372443475832462</v>
      </c>
      <c r="G36" s="20">
        <f>EXP(-$E$23*$F$23-($F$27-$F$23)*$E$27-($F$31-$F$27)*$E$31-($F$35-$F$31)*$E$35-(F36-$F$35)*E36)</f>
        <v>0.94902352348082875</v>
      </c>
      <c r="H36" s="26">
        <f t="shared" si="6"/>
        <v>3.2128827052254616E-3</v>
      </c>
      <c r="I36" s="26">
        <f t="shared" si="7"/>
        <v>0.87706576197323993</v>
      </c>
      <c r="J36" s="8"/>
    </row>
    <row r="37" spans="1:10" x14ac:dyDescent="0.3">
      <c r="A37" s="21"/>
      <c r="B37" s="24">
        <v>42267</v>
      </c>
      <c r="C37" s="26">
        <f t="shared" si="8"/>
        <v>0.25555555555555554</v>
      </c>
      <c r="D37" s="16"/>
      <c r="E37" s="23">
        <f t="shared" ref="E37:E39" si="15">$C$13</f>
        <v>1.3417656499816291E-2</v>
      </c>
      <c r="F37" s="26">
        <f t="shared" si="4"/>
        <v>4.6243312652980757</v>
      </c>
      <c r="G37" s="20">
        <f t="shared" ref="G37:G39" si="16">EXP(-$E$23*$F$23-($F$27-$F$23)*$E$27-($F$31-$F$27)*$E$31-($F$35-$F$31)*$E$35-(F37-$F$35)*E37)</f>
        <v>0.94582148116692888</v>
      </c>
      <c r="H37" s="26">
        <f t="shared" si="6"/>
        <v>3.2020423138998666E-3</v>
      </c>
      <c r="I37" s="26">
        <f t="shared" si="7"/>
        <v>0.87046307575305015</v>
      </c>
      <c r="J37" s="8"/>
    </row>
    <row r="38" spans="1:10" x14ac:dyDescent="0.3">
      <c r="A38" s="21"/>
      <c r="B38" s="24">
        <v>42358</v>
      </c>
      <c r="C38" s="26">
        <f t="shared" si="8"/>
        <v>0.25277777777777777</v>
      </c>
      <c r="D38" s="16"/>
      <c r="E38" s="23">
        <f t="shared" si="15"/>
        <v>1.3417656499816291E-2</v>
      </c>
      <c r="F38" s="26">
        <f t="shared" si="4"/>
        <v>4.8734811440086299</v>
      </c>
      <c r="G38" s="20">
        <f t="shared" si="16"/>
        <v>0.94266487209530869</v>
      </c>
      <c r="H38" s="26">
        <f t="shared" si="6"/>
        <v>3.1566090716201867E-3</v>
      </c>
      <c r="I38" s="26">
        <f t="shared" si="7"/>
        <v>0.86398105774880574</v>
      </c>
      <c r="J38" s="8"/>
    </row>
    <row r="39" spans="1:10" x14ac:dyDescent="0.3">
      <c r="A39" s="21"/>
      <c r="B39" s="24">
        <v>42449</v>
      </c>
      <c r="C39" s="26">
        <f t="shared" si="8"/>
        <v>0.25277777777777777</v>
      </c>
      <c r="D39" s="16"/>
      <c r="E39" s="23">
        <f t="shared" si="15"/>
        <v>1.3417656499816291E-2</v>
      </c>
      <c r="F39" s="26">
        <f t="shared" si="4"/>
        <v>5.1226310227191831</v>
      </c>
      <c r="G39" s="20">
        <f t="shared" si="16"/>
        <v>0.93951879797243887</v>
      </c>
      <c r="H39" s="26">
        <f t="shared" si="6"/>
        <v>3.1460741228698241E-3</v>
      </c>
      <c r="I39" s="26">
        <f t="shared" si="7"/>
        <v>0.85754730894583786</v>
      </c>
      <c r="J39" s="8"/>
    </row>
    <row r="40" spans="1:10" x14ac:dyDescent="0.3">
      <c r="A40" s="11"/>
      <c r="B40" s="11"/>
      <c r="C40" s="11"/>
      <c r="E40" s="11"/>
      <c r="F40" s="11"/>
      <c r="G40" s="11"/>
      <c r="H40" s="11"/>
      <c r="I40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B8E55-4472-491B-9BD5-E52780ACC8CB}">
  <sheetPr codeName="Sheet2"/>
  <dimension ref="A1:P40"/>
  <sheetViews>
    <sheetView showGridLines="0" tabSelected="1" zoomScale="70" zoomScaleNormal="70" workbookViewId="0">
      <selection activeCell="K7" sqref="K7"/>
    </sheetView>
  </sheetViews>
  <sheetFormatPr defaultRowHeight="14.4" x14ac:dyDescent="0.3"/>
  <cols>
    <col min="1" max="1" width="8.88671875" style="5"/>
    <col min="2" max="2" width="21.109375" style="5" bestFit="1" customWidth="1"/>
    <col min="3" max="3" width="20.21875" style="5" customWidth="1"/>
    <col min="4" max="4" width="10.5546875" style="5" customWidth="1"/>
    <col min="5" max="5" width="23.5546875" style="5" bestFit="1" customWidth="1"/>
    <col min="6" max="6" width="20.21875" style="5" customWidth="1"/>
    <col min="7" max="7" width="17.21875" style="5" customWidth="1"/>
    <col min="8" max="8" width="26" style="5" customWidth="1"/>
    <col min="9" max="9" width="18.44140625" style="5" customWidth="1"/>
    <col min="10" max="12" width="8.88671875" style="5"/>
    <col min="13" max="13" width="23.88671875" style="5" bestFit="1" customWidth="1"/>
    <col min="14" max="14" width="10.6640625" style="5" bestFit="1" customWidth="1"/>
    <col min="15" max="16384" width="8.88671875" style="5"/>
  </cols>
  <sheetData>
    <row r="1" spans="1:16" x14ac:dyDescent="0.3">
      <c r="B1" s="1" t="s">
        <v>0</v>
      </c>
      <c r="C1" s="41">
        <v>43077</v>
      </c>
      <c r="D1" s="2"/>
      <c r="E1" s="2"/>
      <c r="F1" s="34" t="s">
        <v>1</v>
      </c>
      <c r="G1" s="4"/>
      <c r="H1" s="4"/>
      <c r="I1" s="4"/>
    </row>
    <row r="2" spans="1:16" x14ac:dyDescent="0.3">
      <c r="B2" s="2"/>
      <c r="C2" s="2"/>
      <c r="D2" s="2"/>
      <c r="E2" s="6"/>
      <c r="F2" s="7" t="s">
        <v>2</v>
      </c>
      <c r="G2" s="35" t="s">
        <v>3</v>
      </c>
      <c r="H2" s="7" t="s">
        <v>4</v>
      </c>
      <c r="I2" s="54">
        <f>N8</f>
        <v>2.7422647061826521E-2</v>
      </c>
      <c r="J2" s="8"/>
    </row>
    <row r="3" spans="1:16" x14ac:dyDescent="0.3">
      <c r="A3" s="12"/>
      <c r="B3" s="34" t="s">
        <v>5</v>
      </c>
      <c r="C3" s="4"/>
      <c r="D3" s="2"/>
      <c r="E3" s="6"/>
      <c r="F3" s="7" t="s">
        <v>6</v>
      </c>
      <c r="G3" s="36">
        <f>B33</f>
        <v>44367</v>
      </c>
      <c r="H3" s="7" t="s">
        <v>7</v>
      </c>
      <c r="I3" s="33">
        <f>N9</f>
        <v>3.5234820839226004</v>
      </c>
      <c r="J3" s="8"/>
    </row>
    <row r="4" spans="1:16" x14ac:dyDescent="0.3">
      <c r="A4" s="21"/>
      <c r="B4" s="7" t="s">
        <v>8</v>
      </c>
      <c r="C4" s="39">
        <v>0.03</v>
      </c>
      <c r="D4" s="9"/>
      <c r="E4" s="6"/>
      <c r="F4" s="7" t="s">
        <v>9</v>
      </c>
      <c r="G4" s="35">
        <v>115</v>
      </c>
      <c r="H4" s="7" t="s">
        <v>10</v>
      </c>
      <c r="I4" s="33">
        <f>I2*10000/I3</f>
        <v>77.828257413182598</v>
      </c>
      <c r="J4" s="8"/>
    </row>
    <row r="5" spans="1:16" x14ac:dyDescent="0.3">
      <c r="A5" s="21"/>
      <c r="B5" s="7" t="s">
        <v>11</v>
      </c>
      <c r="C5" s="40">
        <v>0.4</v>
      </c>
      <c r="D5" s="9"/>
      <c r="E5" s="6"/>
      <c r="F5" s="7" t="s">
        <v>12</v>
      </c>
      <c r="G5" s="37">
        <v>10000000</v>
      </c>
      <c r="H5" s="7" t="s">
        <v>13</v>
      </c>
      <c r="I5" s="32">
        <f>IF(G2="L",1,-1)*((I4-G4)*G5/10000)*I3</f>
        <v>-130973.96903283386</v>
      </c>
      <c r="J5" s="8"/>
    </row>
    <row r="6" spans="1:16" x14ac:dyDescent="0.3">
      <c r="A6" s="11"/>
      <c r="B6" s="10"/>
      <c r="C6" s="11"/>
      <c r="F6" s="11"/>
      <c r="G6" s="11"/>
      <c r="H6" s="11"/>
      <c r="I6" s="11"/>
      <c r="N6" s="34"/>
    </row>
    <row r="7" spans="1:16" x14ac:dyDescent="0.3">
      <c r="A7" s="12"/>
      <c r="B7" s="34" t="s">
        <v>14</v>
      </c>
      <c r="C7" s="12"/>
      <c r="D7" s="12"/>
      <c r="E7" s="12"/>
      <c r="F7" s="12"/>
      <c r="G7" s="12"/>
      <c r="H7" s="12"/>
      <c r="I7" s="12"/>
      <c r="M7" s="34" t="s">
        <v>38</v>
      </c>
      <c r="N7" s="34"/>
    </row>
    <row r="8" spans="1:16" x14ac:dyDescent="0.3">
      <c r="A8" s="21"/>
      <c r="B8" s="7" t="s">
        <v>15</v>
      </c>
      <c r="C8" s="7" t="s">
        <v>42</v>
      </c>
      <c r="D8" s="7" t="s">
        <v>16</v>
      </c>
      <c r="E8" s="7" t="s">
        <v>39</v>
      </c>
      <c r="F8" s="7" t="s">
        <v>18</v>
      </c>
      <c r="G8" s="7" t="s">
        <v>19</v>
      </c>
      <c r="H8" s="7" t="s">
        <v>40</v>
      </c>
      <c r="I8" s="7" t="s">
        <v>41</v>
      </c>
      <c r="J8" s="8"/>
      <c r="M8" s="13" t="s">
        <v>18</v>
      </c>
      <c r="N8" s="46">
        <f>(1-$C$5)*SUMPRODUCT($H$19:H33,$I$19:I33)</f>
        <v>2.7422647061826521E-2</v>
      </c>
    </row>
    <row r="9" spans="1:16" x14ac:dyDescent="0.3">
      <c r="A9" s="21"/>
      <c r="B9" s="27" t="s">
        <v>20</v>
      </c>
      <c r="C9" s="29">
        <v>1.3369954678271602E-2</v>
      </c>
      <c r="D9" s="38">
        <v>65</v>
      </c>
      <c r="E9" s="28">
        <f>F9*10000/G9</f>
        <v>64.999999999649987</v>
      </c>
      <c r="F9" s="53">
        <f>(1-$C$5)*SUMPRODUCT($H$19:H23,$I$19:I23)</f>
        <v>8.047161842105072E-3</v>
      </c>
      <c r="G9" s="55">
        <f>SUMPRODUCT($C$19:C23,$G$19:G23,$I$19:I23)</f>
        <v>1.2380248987920623</v>
      </c>
      <c r="H9" s="52">
        <f>D9-E9</f>
        <v>3.5001335163542535E-10</v>
      </c>
      <c r="I9" s="52">
        <f>H9^2</f>
        <v>1.2250934632306391E-19</v>
      </c>
      <c r="J9" s="8"/>
      <c r="M9" s="13" t="s">
        <v>19</v>
      </c>
      <c r="N9" s="47">
        <f>SUMPRODUCT($C$19:C33,$G$19:G33,$I$19:I33)</f>
        <v>3.5234820839226004</v>
      </c>
    </row>
    <row r="10" spans="1:16" x14ac:dyDescent="0.3">
      <c r="A10" s="21"/>
      <c r="B10" s="27" t="s">
        <v>21</v>
      </c>
      <c r="C10" s="29">
        <v>1.2534599951423994E-2</v>
      </c>
      <c r="D10" s="38">
        <v>69</v>
      </c>
      <c r="E10" s="28">
        <f t="shared" ref="E10:E13" si="0">F10*10000/G10</f>
        <v>68.999999999444356</v>
      </c>
      <c r="F10" s="53">
        <f>(1-$C$5)*SUMPRODUCT($H$19:H27,$I$19:I27)</f>
        <v>1.5057788701716805E-2</v>
      </c>
      <c r="G10" s="55">
        <f>SUMPRODUCT($C$19:C27,$G$19:G27,$I$19:I27)</f>
        <v>2.1822882176576903</v>
      </c>
      <c r="H10" s="52">
        <f t="shared" ref="H10:H13" si="1">D10-E10</f>
        <v>5.5564441936439835E-10</v>
      </c>
      <c r="I10" s="52">
        <f t="shared" ref="I10:I13" si="2">H10^2</f>
        <v>3.0874072077079937E-19</v>
      </c>
      <c r="J10" s="8"/>
      <c r="M10" s="13" t="s">
        <v>17</v>
      </c>
      <c r="N10" s="45">
        <f>N8*10000/N9</f>
        <v>77.828257413182598</v>
      </c>
    </row>
    <row r="11" spans="1:16" x14ac:dyDescent="0.3">
      <c r="A11" s="21"/>
      <c r="B11" s="27" t="s">
        <v>22</v>
      </c>
      <c r="C11" s="29">
        <v>1.5097385707745506E-2</v>
      </c>
      <c r="D11" s="38">
        <v>75</v>
      </c>
      <c r="E11" s="28">
        <f t="shared" si="0"/>
        <v>75.000000000334296</v>
      </c>
      <c r="F11" s="53">
        <f>(1-$C$5)*SUMPRODUCT($H$19:H31,$I$19:I31)</f>
        <v>2.3161663643420555E-2</v>
      </c>
      <c r="G11" s="55">
        <f>SUMPRODUCT($C$19:C31,$G$19:G31,$I$19:I31)</f>
        <v>3.0882218191089756</v>
      </c>
      <c r="H11" s="52">
        <f t="shared" si="1"/>
        <v>-3.3429614632041194E-10</v>
      </c>
      <c r="I11" s="52">
        <f t="shared" si="2"/>
        <v>1.1175391344467827E-19</v>
      </c>
      <c r="J11" s="8"/>
    </row>
    <row r="12" spans="1:16" x14ac:dyDescent="0.3">
      <c r="A12" s="21"/>
      <c r="B12" s="27" t="s">
        <v>23</v>
      </c>
      <c r="C12" s="29">
        <v>1.6519378016297531E-2</v>
      </c>
      <c r="D12" s="38">
        <v>80</v>
      </c>
      <c r="E12" s="28">
        <f t="shared" si="0"/>
        <v>80.000000000058179</v>
      </c>
      <c r="F12" s="53">
        <f>(1-$C$5)*SUMPRODUCT($H$19:H35,$I$19:I35)</f>
        <v>3.1608518079516527E-2</v>
      </c>
      <c r="G12" s="55">
        <f>SUMPRODUCT($C$19:C35,$G$19:G35,$I$19:I35)</f>
        <v>3.9510647599366924</v>
      </c>
      <c r="H12" s="52">
        <f t="shared" si="1"/>
        <v>-5.8179239204037003E-11</v>
      </c>
      <c r="I12" s="52">
        <f t="shared" si="2"/>
        <v>3.3848238743605562E-21</v>
      </c>
      <c r="J12" s="8"/>
      <c r="M12" s="34" t="s">
        <v>1</v>
      </c>
      <c r="N12" s="34"/>
      <c r="O12" s="34"/>
      <c r="P12" s="34"/>
    </row>
    <row r="13" spans="1:16" x14ac:dyDescent="0.3">
      <c r="A13" s="21"/>
      <c r="B13" s="27" t="s">
        <v>24</v>
      </c>
      <c r="C13" s="29">
        <v>1.6434285997792453E-2</v>
      </c>
      <c r="D13" s="38">
        <v>83</v>
      </c>
      <c r="E13" s="28">
        <f t="shared" si="0"/>
        <v>82.999999999957396</v>
      </c>
      <c r="F13" s="53">
        <f>(1-$C$5)*SUMPRODUCT($H$19:H39,$I$19:I39)</f>
        <v>3.9630483103237572E-2</v>
      </c>
      <c r="G13" s="55">
        <f>SUMPRODUCT($C$19:C39,$G$19:G39,$I$19:I39)</f>
        <v>4.7747570003925199</v>
      </c>
      <c r="H13" s="52">
        <f t="shared" si="1"/>
        <v>4.2604142436175607E-11</v>
      </c>
      <c r="I13" s="52">
        <f t="shared" si="2"/>
        <v>1.8151129527219392E-21</v>
      </c>
      <c r="J13" s="8"/>
      <c r="M13" s="7" t="s">
        <v>11</v>
      </c>
      <c r="N13" s="48">
        <v>0</v>
      </c>
      <c r="O13" s="32">
        <v>-132204.75073775</v>
      </c>
      <c r="P13" s="48">
        <f>O13/$I$5-1</f>
        <v>9.3971474943055355E-3</v>
      </c>
    </row>
    <row r="14" spans="1:16" x14ac:dyDescent="0.3">
      <c r="A14" s="11"/>
      <c r="B14" s="11"/>
      <c r="C14" s="11"/>
      <c r="D14" s="11"/>
      <c r="E14" s="11"/>
      <c r="F14" s="11"/>
      <c r="G14" s="14"/>
      <c r="H14" s="30" t="s">
        <v>25</v>
      </c>
      <c r="I14" s="31">
        <f>AVERAGE(I9:I13)</f>
        <v>1.0964078347312482E-19</v>
      </c>
      <c r="J14" s="8"/>
      <c r="M14" s="7" t="s">
        <v>11</v>
      </c>
      <c r="N14" s="48">
        <v>0.1</v>
      </c>
      <c r="O14" s="32">
        <v>-131998.5155907528</v>
      </c>
      <c r="P14" s="48">
        <f t="shared" ref="P14:P16" si="3">O14/$I$5-1</f>
        <v>7.8225205014752497E-3</v>
      </c>
    </row>
    <row r="15" spans="1:16" x14ac:dyDescent="0.3">
      <c r="A15" s="12"/>
      <c r="B15" s="3" t="s">
        <v>26</v>
      </c>
      <c r="C15" s="15">
        <v>42998</v>
      </c>
      <c r="E15" s="12"/>
      <c r="F15" s="12"/>
      <c r="H15" s="11"/>
      <c r="I15" s="11"/>
      <c r="M15" s="7" t="s">
        <v>11</v>
      </c>
      <c r="N15" s="48">
        <v>0.2</v>
      </c>
      <c r="O15" s="32">
        <v>-131741.34513306312</v>
      </c>
      <c r="P15" s="48">
        <f t="shared" si="3"/>
        <v>5.858997065568694E-3</v>
      </c>
    </row>
    <row r="16" spans="1:16" x14ac:dyDescent="0.3">
      <c r="A16" s="21"/>
      <c r="B16" s="7" t="s">
        <v>27</v>
      </c>
      <c r="C16" s="7" t="s">
        <v>28</v>
      </c>
      <c r="D16" s="16"/>
      <c r="E16" s="7" t="s">
        <v>29</v>
      </c>
      <c r="F16" s="7" t="s">
        <v>30</v>
      </c>
      <c r="G16" s="17"/>
      <c r="H16" s="12"/>
      <c r="I16" s="12"/>
      <c r="M16" s="7" t="s">
        <v>11</v>
      </c>
      <c r="N16" s="48">
        <v>0.3</v>
      </c>
      <c r="O16" s="32">
        <v>-131411.7119747742</v>
      </c>
      <c r="P16" s="48">
        <f t="shared" si="3"/>
        <v>3.3422133052301017E-3</v>
      </c>
    </row>
    <row r="17" spans="1:10" x14ac:dyDescent="0.3">
      <c r="A17" s="21"/>
      <c r="B17" s="7" t="s">
        <v>31</v>
      </c>
      <c r="C17" s="7" t="s">
        <v>32</v>
      </c>
      <c r="D17" s="16"/>
      <c r="E17" s="7" t="s">
        <v>33</v>
      </c>
      <c r="F17" s="7" t="s">
        <v>34</v>
      </c>
      <c r="G17" s="7" t="s">
        <v>35</v>
      </c>
      <c r="H17" s="18" t="s">
        <v>36</v>
      </c>
      <c r="I17" s="13" t="s">
        <v>37</v>
      </c>
      <c r="J17" s="8"/>
    </row>
    <row r="18" spans="1:10" x14ac:dyDescent="0.3">
      <c r="A18" s="21"/>
      <c r="B18" s="24">
        <f>C1+1</f>
        <v>43078</v>
      </c>
      <c r="C18" s="25"/>
      <c r="D18" s="8"/>
      <c r="E18" s="19"/>
      <c r="F18" s="25">
        <f>(B18-$B$18)*252/360</f>
        <v>0</v>
      </c>
      <c r="G18" s="7">
        <f>EXP(E19*F18)</f>
        <v>1</v>
      </c>
      <c r="H18" s="25"/>
      <c r="I18" s="25">
        <f>EXP(-F18*$C$4)</f>
        <v>1</v>
      </c>
      <c r="J18" s="8"/>
    </row>
    <row r="19" spans="1:10" x14ac:dyDescent="0.3">
      <c r="A19" s="21"/>
      <c r="B19" s="24">
        <v>43089</v>
      </c>
      <c r="C19" s="26">
        <f>(B19-C15)/360</f>
        <v>0.25277777777777777</v>
      </c>
      <c r="D19" s="16"/>
      <c r="E19" s="43">
        <f>$C$9</f>
        <v>1.3369954678271602E-2</v>
      </c>
      <c r="F19" s="26">
        <f>(B19-$B$18)/365.242</f>
        <v>3.0117018305671307E-2</v>
      </c>
      <c r="G19" s="20">
        <f>EXP(-E19*F19)</f>
        <v>0.9995974178881426</v>
      </c>
      <c r="H19" s="26">
        <f>G18-G19</f>
        <v>4.025821118573969E-4</v>
      </c>
      <c r="I19" s="26">
        <f>EXP(-F19*$C$4)</f>
        <v>0.99909689749358654</v>
      </c>
      <c r="J19" s="8"/>
    </row>
    <row r="20" spans="1:10" x14ac:dyDescent="0.3">
      <c r="A20" s="21"/>
      <c r="B20" s="24">
        <v>43179</v>
      </c>
      <c r="C20" s="26">
        <f>(B20-B19)/360</f>
        <v>0.25</v>
      </c>
      <c r="D20" s="16"/>
      <c r="E20" s="43">
        <f t="shared" ref="E20:E23" si="4">$C$9</f>
        <v>1.3369954678271602E-2</v>
      </c>
      <c r="F20" s="26">
        <f t="shared" ref="F20:F39" si="5">(B20-$B$18)/365.242</f>
        <v>0.27652898626116379</v>
      </c>
      <c r="G20" s="20">
        <f t="shared" ref="G20:G23" si="6">EXP(-E20*F20)</f>
        <v>0.99630964614138706</v>
      </c>
      <c r="H20" s="26">
        <f t="shared" ref="H20:H39" si="7">G19-G20</f>
        <v>3.2877717467555412E-3</v>
      </c>
      <c r="I20" s="26">
        <f t="shared" ref="I20:I39" si="8">EXP(-F20*$C$4)</f>
        <v>0.99173844617966489</v>
      </c>
      <c r="J20" s="8"/>
    </row>
    <row r="21" spans="1:10" x14ac:dyDescent="0.3">
      <c r="A21" s="21"/>
      <c r="B21" s="24">
        <v>43271</v>
      </c>
      <c r="C21" s="26">
        <f t="shared" ref="C21:C39" si="9">(B21-B20)/360</f>
        <v>0.25555555555555554</v>
      </c>
      <c r="D21" s="16"/>
      <c r="E21" s="43">
        <f t="shared" si="4"/>
        <v>1.3369954678271602E-2</v>
      </c>
      <c r="F21" s="26">
        <f t="shared" si="5"/>
        <v>0.52841677572677836</v>
      </c>
      <c r="G21" s="20">
        <f t="shared" si="6"/>
        <v>0.99295998945418518</v>
      </c>
      <c r="H21" s="26">
        <f t="shared" si="7"/>
        <v>3.3496566872018851E-3</v>
      </c>
      <c r="I21" s="26">
        <f t="shared" si="8"/>
        <v>0.98427248632063358</v>
      </c>
      <c r="J21" s="8"/>
    </row>
    <row r="22" spans="1:10" x14ac:dyDescent="0.3">
      <c r="A22" s="21"/>
      <c r="B22" s="24">
        <v>43363</v>
      </c>
      <c r="C22" s="26">
        <f t="shared" si="9"/>
        <v>0.25555555555555554</v>
      </c>
      <c r="D22" s="16"/>
      <c r="E22" s="43">
        <f t="shared" si="4"/>
        <v>1.3369954678271602E-2</v>
      </c>
      <c r="F22" s="26">
        <f t="shared" si="5"/>
        <v>0.780304565192393</v>
      </c>
      <c r="G22" s="20">
        <f t="shared" si="6"/>
        <v>0.98962159452678422</v>
      </c>
      <c r="H22" s="26">
        <f t="shared" si="7"/>
        <v>3.3383949274009561E-3</v>
      </c>
      <c r="I22" s="26">
        <f t="shared" si="8"/>
        <v>0.97686273135799551</v>
      </c>
      <c r="J22" s="8"/>
    </row>
    <row r="23" spans="1:10" x14ac:dyDescent="0.3">
      <c r="A23" s="21"/>
      <c r="B23" s="24">
        <v>43454</v>
      </c>
      <c r="C23" s="26">
        <f t="shared" si="9"/>
        <v>0.25277777777777777</v>
      </c>
      <c r="D23" s="16"/>
      <c r="E23" s="43">
        <f t="shared" si="4"/>
        <v>1.3369954678271602E-2</v>
      </c>
      <c r="F23" s="26">
        <f t="shared" si="5"/>
        <v>1.0294544439029465</v>
      </c>
      <c r="G23" s="20">
        <f t="shared" si="6"/>
        <v>0.98633052819714495</v>
      </c>
      <c r="H23" s="26">
        <f t="shared" si="7"/>
        <v>3.2910663296392695E-3</v>
      </c>
      <c r="I23" s="26">
        <f t="shared" si="8"/>
        <v>0.96958839429681698</v>
      </c>
      <c r="J23" s="8"/>
    </row>
    <row r="24" spans="1:10" x14ac:dyDescent="0.3">
      <c r="A24" s="21"/>
      <c r="B24" s="24">
        <v>43544</v>
      </c>
      <c r="C24" s="26">
        <f t="shared" si="9"/>
        <v>0.25</v>
      </c>
      <c r="D24" s="16"/>
      <c r="E24" s="42">
        <f>$C$10</f>
        <v>1.2534599951423994E-2</v>
      </c>
      <c r="F24" s="26">
        <f t="shared" si="5"/>
        <v>1.2758664118584391</v>
      </c>
      <c r="G24" s="20">
        <f>EXP(-$E$23*$F$23-(F24-$F$23)*E24)</f>
        <v>0.98328877323253916</v>
      </c>
      <c r="H24" s="26">
        <f t="shared" si="7"/>
        <v>3.0417549646057918E-3</v>
      </c>
      <c r="I24" s="26">
        <f t="shared" si="8"/>
        <v>0.96244727614113534</v>
      </c>
      <c r="J24" s="8"/>
    </row>
    <row r="25" spans="1:10" x14ac:dyDescent="0.3">
      <c r="A25" s="21"/>
      <c r="B25" s="24">
        <v>43636</v>
      </c>
      <c r="C25" s="26">
        <f t="shared" si="9"/>
        <v>0.25555555555555554</v>
      </c>
      <c r="D25" s="16"/>
      <c r="E25" s="42">
        <f t="shared" ref="E25:E27" si="10">$C$10</f>
        <v>1.2534599951423994E-2</v>
      </c>
      <c r="F25" s="26">
        <f t="shared" si="5"/>
        <v>1.5277542013240535</v>
      </c>
      <c r="G25" s="20">
        <f t="shared" ref="G25:G27" si="11">EXP(-$E$23*$F$23-(F25-$F$23)*E25)</f>
        <v>0.98018911899075412</v>
      </c>
      <c r="H25" s="26">
        <f t="shared" si="7"/>
        <v>3.0996542417850437E-3</v>
      </c>
      <c r="I25" s="26">
        <f t="shared" si="8"/>
        <v>0.95520182472419801</v>
      </c>
      <c r="J25" s="8"/>
    </row>
    <row r="26" spans="1:10" x14ac:dyDescent="0.3">
      <c r="A26" s="21"/>
      <c r="B26" s="24">
        <v>43728</v>
      </c>
      <c r="C26" s="26">
        <f t="shared" si="9"/>
        <v>0.25555555555555554</v>
      </c>
      <c r="D26" s="16"/>
      <c r="E26" s="42">
        <f t="shared" si="10"/>
        <v>1.2534599951423994E-2</v>
      </c>
      <c r="F26" s="26">
        <f t="shared" si="5"/>
        <v>1.7796419907896681</v>
      </c>
      <c r="G26" s="20">
        <f t="shared" si="11"/>
        <v>0.97709923589319481</v>
      </c>
      <c r="H26" s="26">
        <f t="shared" si="7"/>
        <v>3.0898830975593095E-3</v>
      </c>
      <c r="I26" s="26">
        <f t="shared" si="8"/>
        <v>0.94801091818211936</v>
      </c>
      <c r="J26" s="8"/>
    </row>
    <row r="27" spans="1:10" x14ac:dyDescent="0.3">
      <c r="A27" s="21"/>
      <c r="B27" s="24">
        <v>43819</v>
      </c>
      <c r="C27" s="26">
        <f t="shared" si="9"/>
        <v>0.25277777777777777</v>
      </c>
      <c r="D27" s="16"/>
      <c r="E27" s="42">
        <f t="shared" si="10"/>
        <v>1.2534599951423994E-2</v>
      </c>
      <c r="F27" s="26">
        <f t="shared" si="5"/>
        <v>2.0287918695002216</v>
      </c>
      <c r="G27" s="20">
        <f t="shared" si="11"/>
        <v>0.97405252069879611</v>
      </c>
      <c r="H27" s="26">
        <f t="shared" si="7"/>
        <v>3.046715194398697E-3</v>
      </c>
      <c r="I27" s="26">
        <f t="shared" si="8"/>
        <v>0.94095142994988079</v>
      </c>
      <c r="J27" s="8"/>
    </row>
    <row r="28" spans="1:10" x14ac:dyDescent="0.3">
      <c r="A28" s="21"/>
      <c r="B28" s="24">
        <v>43910</v>
      </c>
      <c r="C28" s="26">
        <f t="shared" si="9"/>
        <v>0.25277777777777777</v>
      </c>
      <c r="D28" s="16"/>
      <c r="E28" s="44">
        <f>$C$11</f>
        <v>1.5097385707745506E-2</v>
      </c>
      <c r="F28" s="26">
        <f t="shared" si="5"/>
        <v>2.2779417482107753</v>
      </c>
      <c r="G28" s="20">
        <f>EXP(-$E$23*$F$23-($F$27-$F$23)*$E$27-(F28-$F$27)*E28)</f>
        <v>0.97039549291943783</v>
      </c>
      <c r="H28" s="26">
        <f t="shared" si="7"/>
        <v>3.6570277793582795E-3</v>
      </c>
      <c r="I28" s="26">
        <f t="shared" si="8"/>
        <v>0.93394451112707133</v>
      </c>
      <c r="J28" s="8"/>
    </row>
    <row r="29" spans="1:10" x14ac:dyDescent="0.3">
      <c r="A29" s="21"/>
      <c r="B29" s="24">
        <v>44002</v>
      </c>
      <c r="C29" s="26">
        <f t="shared" si="9"/>
        <v>0.25555555555555554</v>
      </c>
      <c r="D29" s="16"/>
      <c r="E29" s="44">
        <f t="shared" ref="E29:E31" si="12">$C$11</f>
        <v>1.5097385707745506E-2</v>
      </c>
      <c r="F29" s="26">
        <f t="shared" si="5"/>
        <v>2.52982953767639</v>
      </c>
      <c r="G29" s="20">
        <f t="shared" ref="G29:G31" si="13">EXP(-$E$23*$F$23-($F$27-$F$23)*$E$27-(F29-$F$27)*E29)</f>
        <v>0.96671223509310122</v>
      </c>
      <c r="H29" s="26">
        <f t="shared" si="7"/>
        <v>3.6832578263366056E-3</v>
      </c>
      <c r="I29" s="26">
        <f t="shared" si="8"/>
        <v>0.92691363291770312</v>
      </c>
      <c r="J29" s="8"/>
    </row>
    <row r="30" spans="1:10" x14ac:dyDescent="0.3">
      <c r="A30" s="21"/>
      <c r="B30" s="24">
        <v>44094</v>
      </c>
      <c r="C30" s="26">
        <f t="shared" si="9"/>
        <v>0.25555555555555554</v>
      </c>
      <c r="D30" s="16"/>
      <c r="E30" s="44">
        <f t="shared" si="12"/>
        <v>1.5097385707745506E-2</v>
      </c>
      <c r="F30" s="26">
        <f t="shared" si="5"/>
        <v>2.7817173271420041</v>
      </c>
      <c r="G30" s="20">
        <f t="shared" si="13"/>
        <v>0.96304295753389713</v>
      </c>
      <c r="H30" s="26">
        <f t="shared" si="7"/>
        <v>3.6692775592040983E-3</v>
      </c>
      <c r="I30" s="26">
        <f t="shared" si="8"/>
        <v>0.9199356842430193</v>
      </c>
      <c r="J30" s="8"/>
    </row>
    <row r="31" spans="1:10" x14ac:dyDescent="0.3">
      <c r="A31" s="21"/>
      <c r="B31" s="24">
        <v>44185</v>
      </c>
      <c r="C31" s="26">
        <f t="shared" si="9"/>
        <v>0.25277777777777777</v>
      </c>
      <c r="D31" s="16"/>
      <c r="E31" s="44">
        <f t="shared" si="12"/>
        <v>1.5097385707745506E-2</v>
      </c>
      <c r="F31" s="26">
        <f t="shared" si="5"/>
        <v>3.0308672058525579</v>
      </c>
      <c r="G31" s="20">
        <f t="shared" si="13"/>
        <v>0.95942726456706395</v>
      </c>
      <c r="H31" s="26">
        <f t="shared" si="7"/>
        <v>3.6156929668331728E-3</v>
      </c>
      <c r="I31" s="26">
        <f t="shared" si="8"/>
        <v>0.91308526194009565</v>
      </c>
      <c r="J31" s="8"/>
    </row>
    <row r="32" spans="1:10" x14ac:dyDescent="0.3">
      <c r="A32" s="21"/>
      <c r="B32" s="24">
        <v>44275</v>
      </c>
      <c r="C32" s="26">
        <f t="shared" si="9"/>
        <v>0.25</v>
      </c>
      <c r="D32" s="16"/>
      <c r="E32" s="22">
        <f>$C$12</f>
        <v>1.6519378016297531E-2</v>
      </c>
      <c r="F32" s="26">
        <f t="shared" si="5"/>
        <v>3.2772791738080502</v>
      </c>
      <c r="G32" s="20">
        <f>EXP(-$E$23*$F$23-($F$27-$F$23)*$E$27-($F$31-$F$27)*$E$31-(F32-$F$31)*E32)</f>
        <v>0.95552978424921808</v>
      </c>
      <c r="H32" s="26">
        <f t="shared" si="7"/>
        <v>3.8974803178458695E-3</v>
      </c>
      <c r="I32" s="26">
        <f t="shared" si="8"/>
        <v>0.9063602951602957</v>
      </c>
      <c r="J32" s="8"/>
    </row>
    <row r="33" spans="1:10" x14ac:dyDescent="0.3">
      <c r="A33" s="21"/>
      <c r="B33" s="24">
        <v>44367</v>
      </c>
      <c r="C33" s="26">
        <f t="shared" si="9"/>
        <v>0.25555555555555554</v>
      </c>
      <c r="D33" s="16"/>
      <c r="E33" s="22">
        <f t="shared" ref="E33:E35" si="14">$C$12</f>
        <v>1.6519378016297531E-2</v>
      </c>
      <c r="F33" s="26">
        <f t="shared" si="5"/>
        <v>3.5291669632736649</v>
      </c>
      <c r="G33" s="20">
        <f t="shared" ref="G33:G35" si="15">EXP(-$E$23*$F$23-($F$27-$F$23)*$E$27-($F$31-$F$27)*$E$31-(F33-$F$31)*E33)</f>
        <v>0.9515620571617055</v>
      </c>
      <c r="H33" s="26">
        <f t="shared" si="7"/>
        <v>3.9677270875125847E-3</v>
      </c>
      <c r="I33" s="26">
        <f t="shared" si="8"/>
        <v>0.8995370751797116</v>
      </c>
      <c r="J33" s="8"/>
    </row>
    <row r="34" spans="1:10" x14ac:dyDescent="0.3">
      <c r="A34" s="21"/>
      <c r="B34" s="24">
        <v>44459</v>
      </c>
      <c r="C34" s="26">
        <f t="shared" si="9"/>
        <v>0.25555555555555554</v>
      </c>
      <c r="D34" s="16"/>
      <c r="E34" s="22">
        <f t="shared" si="14"/>
        <v>1.6519378016297531E-2</v>
      </c>
      <c r="F34" s="26">
        <f t="shared" si="5"/>
        <v>3.7810547527392795</v>
      </c>
      <c r="G34" s="20">
        <f t="shared" si="15"/>
        <v>0.94761080560274302</v>
      </c>
      <c r="H34" s="26">
        <f t="shared" si="7"/>
        <v>3.9512515589624764E-3</v>
      </c>
      <c r="I34" s="26">
        <f t="shared" si="8"/>
        <v>0.8927652214506635</v>
      </c>
      <c r="J34" s="8"/>
    </row>
    <row r="35" spans="1:10" x14ac:dyDescent="0.3">
      <c r="A35" s="21"/>
      <c r="B35" s="24">
        <v>44550</v>
      </c>
      <c r="C35" s="26">
        <f t="shared" si="9"/>
        <v>0.25277777777777777</v>
      </c>
      <c r="D35" s="16"/>
      <c r="E35" s="22">
        <f t="shared" si="14"/>
        <v>1.6519378016297531E-2</v>
      </c>
      <c r="F35" s="26">
        <f t="shared" si="5"/>
        <v>4.0302046314498332</v>
      </c>
      <c r="G35" s="20">
        <f t="shared" si="15"/>
        <v>0.94371864325110599</v>
      </c>
      <c r="H35" s="26">
        <f t="shared" si="7"/>
        <v>3.8921623516370296E-3</v>
      </c>
      <c r="I35" s="26">
        <f t="shared" si="8"/>
        <v>0.8861171275794788</v>
      </c>
      <c r="J35" s="8"/>
    </row>
    <row r="36" spans="1:10" x14ac:dyDescent="0.3">
      <c r="A36" s="21"/>
      <c r="B36" s="24">
        <v>44640</v>
      </c>
      <c r="C36" s="26">
        <f t="shared" si="9"/>
        <v>0.25</v>
      </c>
      <c r="D36" s="16"/>
      <c r="E36" s="23">
        <f>$C$13</f>
        <v>1.6434285997792453E-2</v>
      </c>
      <c r="F36" s="26">
        <f t="shared" si="5"/>
        <v>4.2766165994053251</v>
      </c>
      <c r="G36" s="20">
        <f>EXP(-$E$23*$F$23-($F$27-$F$23)*$E$27-($F$31-$F$27)*$E$31-($F$35-$F$31)*$E$35-(F36-$F$35)*E36)</f>
        <v>0.93990468347334799</v>
      </c>
      <c r="H36" s="26">
        <f t="shared" si="7"/>
        <v>3.8139597777580025E-3</v>
      </c>
      <c r="I36" s="26">
        <f t="shared" si="8"/>
        <v>0.87959078388040079</v>
      </c>
      <c r="J36" s="8"/>
    </row>
    <row r="37" spans="1:10" x14ac:dyDescent="0.3">
      <c r="A37" s="21"/>
      <c r="B37" s="24">
        <v>44732</v>
      </c>
      <c r="C37" s="26">
        <f t="shared" si="9"/>
        <v>0.25555555555555554</v>
      </c>
      <c r="D37" s="16"/>
      <c r="E37" s="23">
        <f t="shared" ref="E37:E39" si="16">$C$13</f>
        <v>1.6434285997792453E-2</v>
      </c>
      <c r="F37" s="26">
        <f t="shared" si="5"/>
        <v>4.5285043888709398</v>
      </c>
      <c r="G37" s="20">
        <f t="shared" ref="G37:G39" si="17">EXP(-$E$23*$F$23-($F$27-$F$23)*$E$27-($F$31-$F$27)*$E$31-($F$35-$F$31)*$E$35-(F37-$F$35)*E37)</f>
        <v>0.93602189995431628</v>
      </c>
      <c r="H37" s="26">
        <f t="shared" si="7"/>
        <v>3.8827835190317073E-3</v>
      </c>
      <c r="I37" s="26">
        <f t="shared" si="8"/>
        <v>0.87296908890616431</v>
      </c>
      <c r="J37" s="8"/>
    </row>
    <row r="38" spans="1:10" x14ac:dyDescent="0.3">
      <c r="A38" s="21"/>
      <c r="B38" s="24">
        <v>44824</v>
      </c>
      <c r="C38" s="26">
        <f t="shared" si="9"/>
        <v>0.25555555555555554</v>
      </c>
      <c r="D38" s="16"/>
      <c r="E38" s="23">
        <f t="shared" si="16"/>
        <v>1.6434285997792453E-2</v>
      </c>
      <c r="F38" s="26">
        <f t="shared" si="5"/>
        <v>4.7803921783365544</v>
      </c>
      <c r="G38" s="20">
        <f t="shared" si="17"/>
        <v>0.93215515636797208</v>
      </c>
      <c r="H38" s="26">
        <f t="shared" si="7"/>
        <v>3.8667435863442012E-3</v>
      </c>
      <c r="I38" s="26">
        <f t="shared" si="8"/>
        <v>0.86639724307215926</v>
      </c>
      <c r="J38" s="8"/>
    </row>
    <row r="39" spans="1:10" x14ac:dyDescent="0.3">
      <c r="A39" s="21"/>
      <c r="B39" s="24">
        <v>44915</v>
      </c>
      <c r="C39" s="26">
        <f t="shared" si="9"/>
        <v>0.25277777777777777</v>
      </c>
      <c r="D39" s="16"/>
      <c r="E39" s="23">
        <f t="shared" si="16"/>
        <v>1.6434285997792453E-2</v>
      </c>
      <c r="F39" s="26">
        <f t="shared" si="5"/>
        <v>5.0295420570471085</v>
      </c>
      <c r="G39" s="20">
        <f t="shared" si="17"/>
        <v>0.92834615701309142</v>
      </c>
      <c r="H39" s="26">
        <f t="shared" si="7"/>
        <v>3.80899935488066E-3</v>
      </c>
      <c r="I39" s="26">
        <f t="shared" si="8"/>
        <v>0.85994550182677321</v>
      </c>
      <c r="J39" s="8"/>
    </row>
    <row r="40" spans="1:10" x14ac:dyDescent="0.3">
      <c r="A40" s="11"/>
      <c r="B40" s="11"/>
      <c r="C40" s="11"/>
      <c r="E40" s="11"/>
      <c r="F40" s="11"/>
      <c r="G40" s="11"/>
      <c r="H40" s="11"/>
      <c r="I40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2F1A9-88FA-48D0-8455-67A14FD9A929}">
  <sheetPr codeName="Sheet3"/>
  <dimension ref="A1:P40"/>
  <sheetViews>
    <sheetView showGridLines="0" zoomScale="70" zoomScaleNormal="70" workbookViewId="0">
      <selection activeCell="M25" sqref="M25"/>
    </sheetView>
  </sheetViews>
  <sheetFormatPr defaultRowHeight="14.4" x14ac:dyDescent="0.3"/>
  <cols>
    <col min="1" max="1" width="8.88671875" style="5"/>
    <col min="2" max="2" width="21.109375" style="5" bestFit="1" customWidth="1"/>
    <col min="3" max="3" width="20.21875" style="5" customWidth="1"/>
    <col min="4" max="4" width="10.5546875" style="5" customWidth="1"/>
    <col min="5" max="5" width="23.5546875" style="5" bestFit="1" customWidth="1"/>
    <col min="6" max="6" width="20.21875" style="5" customWidth="1"/>
    <col min="7" max="7" width="17.21875" style="5" customWidth="1"/>
    <col min="8" max="8" width="26" style="5" customWidth="1"/>
    <col min="9" max="9" width="18.44140625" style="5" customWidth="1"/>
    <col min="10" max="12" width="8.88671875" style="5"/>
    <col min="13" max="13" width="23.88671875" style="5" bestFit="1" customWidth="1"/>
    <col min="14" max="14" width="11.21875" style="5" bestFit="1" customWidth="1"/>
    <col min="15" max="16384" width="8.88671875" style="5"/>
  </cols>
  <sheetData>
    <row r="1" spans="1:16" x14ac:dyDescent="0.3">
      <c r="B1" s="1" t="s">
        <v>0</v>
      </c>
      <c r="C1" s="41">
        <v>43077</v>
      </c>
      <c r="D1" s="2"/>
      <c r="E1" s="2"/>
      <c r="F1" s="34" t="s">
        <v>1</v>
      </c>
      <c r="G1" s="4"/>
      <c r="H1" s="4"/>
      <c r="I1" s="4"/>
    </row>
    <row r="2" spans="1:16" x14ac:dyDescent="0.3">
      <c r="B2" s="2"/>
      <c r="C2" s="2"/>
      <c r="D2" s="2"/>
      <c r="E2" s="6"/>
      <c r="F2" s="7" t="s">
        <v>2</v>
      </c>
      <c r="G2" s="35" t="s">
        <v>3</v>
      </c>
      <c r="H2" s="7" t="s">
        <v>4</v>
      </c>
      <c r="I2" s="54">
        <f>N8</f>
        <v>2.7422647061826521E-2</v>
      </c>
      <c r="J2" s="8"/>
    </row>
    <row r="3" spans="1:16" x14ac:dyDescent="0.3">
      <c r="A3" s="12"/>
      <c r="B3" s="34" t="s">
        <v>5</v>
      </c>
      <c r="C3" s="4"/>
      <c r="D3" s="2"/>
      <c r="E3" s="6"/>
      <c r="F3" s="7" t="s">
        <v>6</v>
      </c>
      <c r="G3" s="36">
        <f>B33</f>
        <v>44367</v>
      </c>
      <c r="H3" s="7" t="s">
        <v>7</v>
      </c>
      <c r="I3" s="33">
        <f>N9</f>
        <v>3.5234820839226004</v>
      </c>
      <c r="J3" s="8"/>
    </row>
    <row r="4" spans="1:16" x14ac:dyDescent="0.3">
      <c r="A4" s="21"/>
      <c r="B4" s="7" t="s">
        <v>8</v>
      </c>
      <c r="C4" s="39">
        <v>0.03</v>
      </c>
      <c r="D4" s="9"/>
      <c r="E4" s="6"/>
      <c r="F4" s="7" t="s">
        <v>9</v>
      </c>
      <c r="G4" s="35">
        <v>115</v>
      </c>
      <c r="H4" s="7" t="s">
        <v>10</v>
      </c>
      <c r="I4" s="33">
        <f>I2*10000/I3</f>
        <v>77.828257413182598</v>
      </c>
      <c r="J4" s="8"/>
    </row>
    <row r="5" spans="1:16" x14ac:dyDescent="0.3">
      <c r="A5" s="21"/>
      <c r="B5" s="7" t="s">
        <v>11</v>
      </c>
      <c r="C5" s="40">
        <v>0.4</v>
      </c>
      <c r="D5" s="9"/>
      <c r="E5" s="6"/>
      <c r="F5" s="7" t="s">
        <v>12</v>
      </c>
      <c r="G5" s="37">
        <v>10000000</v>
      </c>
      <c r="H5" s="7" t="s">
        <v>13</v>
      </c>
      <c r="I5" s="32">
        <f>IF(G2="L",1,-1)*((I4-G4)*G5/10000)*I3</f>
        <v>-130973.96903283386</v>
      </c>
      <c r="J5" s="8"/>
    </row>
    <row r="6" spans="1:16" x14ac:dyDescent="0.3">
      <c r="A6" s="11"/>
      <c r="B6" s="10"/>
      <c r="C6" s="11"/>
      <c r="F6" s="11"/>
      <c r="G6" s="11"/>
      <c r="H6" s="11"/>
      <c r="I6" s="11"/>
      <c r="N6" s="49"/>
    </row>
    <row r="7" spans="1:16" x14ac:dyDescent="0.3">
      <c r="A7" s="12"/>
      <c r="B7" s="34" t="s">
        <v>14</v>
      </c>
      <c r="C7" s="12"/>
      <c r="D7" s="12"/>
      <c r="E7" s="12"/>
      <c r="F7" s="12"/>
      <c r="G7" s="12"/>
      <c r="H7" s="12"/>
      <c r="I7" s="12"/>
      <c r="M7" s="34" t="s">
        <v>38</v>
      </c>
      <c r="N7" s="50"/>
    </row>
    <row r="8" spans="1:16" x14ac:dyDescent="0.3">
      <c r="A8" s="21"/>
      <c r="B8" s="7" t="s">
        <v>15</v>
      </c>
      <c r="C8" s="7" t="s">
        <v>42</v>
      </c>
      <c r="D8" s="7" t="s">
        <v>16</v>
      </c>
      <c r="E8" s="7" t="s">
        <v>39</v>
      </c>
      <c r="F8" s="7" t="s">
        <v>18</v>
      </c>
      <c r="G8" s="7" t="s">
        <v>19</v>
      </c>
      <c r="H8" s="7" t="s">
        <v>40</v>
      </c>
      <c r="I8" s="7" t="s">
        <v>41</v>
      </c>
      <c r="J8" s="8"/>
      <c r="M8" s="13" t="s">
        <v>18</v>
      </c>
      <c r="N8" s="46">
        <f>(1-$C$5)*SUMPRODUCT($H$19:H33,$I$19:I33)</f>
        <v>2.7422647061826521E-2</v>
      </c>
    </row>
    <row r="9" spans="1:16" x14ac:dyDescent="0.3">
      <c r="A9" s="21"/>
      <c r="B9" s="27" t="s">
        <v>20</v>
      </c>
      <c r="C9" s="29">
        <v>1.3369954678271602E-2</v>
      </c>
      <c r="D9" s="38">
        <v>65</v>
      </c>
      <c r="E9" s="28">
        <f>F9*10000/G9</f>
        <v>64.999999999649987</v>
      </c>
      <c r="F9" s="53">
        <f>(1-$C$5)*SUMPRODUCT($H$19:H23,$I$19:I23)</f>
        <v>8.047161842105072E-3</v>
      </c>
      <c r="G9" s="55">
        <f>SUMPRODUCT($C$19:C23,$G$19:G23,$I$19:I23)</f>
        <v>1.2380248987920623</v>
      </c>
      <c r="H9" s="52">
        <f>D9-E9</f>
        <v>3.5001335163542535E-10</v>
      </c>
      <c r="I9" s="52">
        <f>H9^2</f>
        <v>1.2250934632306391E-19</v>
      </c>
      <c r="J9" s="8"/>
      <c r="M9" s="13" t="s">
        <v>19</v>
      </c>
      <c r="N9" s="47">
        <f>SUMPRODUCT($C$19:C33,$G$19:G33,$I$19:I33)</f>
        <v>3.5234820839226004</v>
      </c>
    </row>
    <row r="10" spans="1:16" x14ac:dyDescent="0.3">
      <c r="A10" s="21"/>
      <c r="B10" s="27" t="s">
        <v>21</v>
      </c>
      <c r="C10" s="29">
        <v>1.2534599951423994E-2</v>
      </c>
      <c r="D10" s="38">
        <v>69</v>
      </c>
      <c r="E10" s="28">
        <f t="shared" ref="E10:E13" si="0">F10*10000/G10</f>
        <v>68.999999999444356</v>
      </c>
      <c r="F10" s="53">
        <f>(1-$C$5)*SUMPRODUCT($H$19:H27,$I$19:I27)</f>
        <v>1.5057788701716805E-2</v>
      </c>
      <c r="G10" s="55">
        <f>SUMPRODUCT($C$19:C27,$G$19:G27,$I$19:I27)</f>
        <v>2.1822882176576903</v>
      </c>
      <c r="H10" s="52">
        <f t="shared" ref="H10:H13" si="1">D10-E10</f>
        <v>5.5564441936439835E-10</v>
      </c>
      <c r="I10" s="52">
        <f t="shared" ref="I10:I13" si="2">H10^2</f>
        <v>3.0874072077079937E-19</v>
      </c>
      <c r="J10" s="8"/>
      <c r="M10" s="13" t="s">
        <v>17</v>
      </c>
      <c r="N10" s="45">
        <f>N8*10000/N9</f>
        <v>77.828257413182598</v>
      </c>
    </row>
    <row r="11" spans="1:16" x14ac:dyDescent="0.3">
      <c r="A11" s="21"/>
      <c r="B11" s="27" t="s">
        <v>22</v>
      </c>
      <c r="C11" s="29">
        <v>1.5097385707745506E-2</v>
      </c>
      <c r="D11" s="38">
        <v>75</v>
      </c>
      <c r="E11" s="28">
        <f t="shared" si="0"/>
        <v>75.000000000334296</v>
      </c>
      <c r="F11" s="53">
        <f>(1-$C$5)*SUMPRODUCT($H$19:H31,$I$19:I31)</f>
        <v>2.3161663643420555E-2</v>
      </c>
      <c r="G11" s="55">
        <f>SUMPRODUCT($C$19:C31,$G$19:G31,$I$19:I31)</f>
        <v>3.0882218191089756</v>
      </c>
      <c r="H11" s="52">
        <f t="shared" si="1"/>
        <v>-3.3429614632041194E-10</v>
      </c>
      <c r="I11" s="52">
        <f t="shared" si="2"/>
        <v>1.1175391344467827E-19</v>
      </c>
      <c r="J11" s="8"/>
    </row>
    <row r="12" spans="1:16" x14ac:dyDescent="0.3">
      <c r="A12" s="21"/>
      <c r="B12" s="27" t="s">
        <v>23</v>
      </c>
      <c r="C12" s="29">
        <v>1.6519378016297531E-2</v>
      </c>
      <c r="D12" s="38">
        <v>80</v>
      </c>
      <c r="E12" s="28">
        <f t="shared" si="0"/>
        <v>80.000000000058179</v>
      </c>
      <c r="F12" s="53">
        <f>(1-$C$5)*SUMPRODUCT($H$19:H35,$I$19:I35)</f>
        <v>3.1608518079516527E-2</v>
      </c>
      <c r="G12" s="55">
        <f>SUMPRODUCT($C$19:C35,$G$19:G35,$I$19:I35)</f>
        <v>3.9510647599366924</v>
      </c>
      <c r="H12" s="52">
        <f t="shared" si="1"/>
        <v>-5.8179239204037003E-11</v>
      </c>
      <c r="I12" s="52">
        <f t="shared" si="2"/>
        <v>3.3848238743605562E-21</v>
      </c>
      <c r="J12" s="8"/>
      <c r="M12" s="34" t="s">
        <v>1</v>
      </c>
      <c r="N12" s="34"/>
      <c r="O12" s="34"/>
      <c r="P12" s="34"/>
    </row>
    <row r="13" spans="1:16" x14ac:dyDescent="0.3">
      <c r="A13" s="21"/>
      <c r="B13" s="27" t="s">
        <v>24</v>
      </c>
      <c r="C13" s="29">
        <v>1.6434285997792453E-2</v>
      </c>
      <c r="D13" s="38">
        <v>83</v>
      </c>
      <c r="E13" s="28">
        <f t="shared" si="0"/>
        <v>82.999999999957396</v>
      </c>
      <c r="F13" s="53">
        <f>(1-$C$5)*SUMPRODUCT($H$19:H39,$I$19:I39)</f>
        <v>3.9630483103237572E-2</v>
      </c>
      <c r="G13" s="55">
        <f>SUMPRODUCT($C$19:C39,$G$19:G39,$I$19:I39)</f>
        <v>4.7747570003925199</v>
      </c>
      <c r="H13" s="52">
        <f t="shared" si="1"/>
        <v>4.2604142436175607E-11</v>
      </c>
      <c r="I13" s="52">
        <f t="shared" si="2"/>
        <v>1.8151129527219392E-21</v>
      </c>
      <c r="J13" s="8"/>
      <c r="M13" s="7" t="s">
        <v>11</v>
      </c>
      <c r="N13" s="48">
        <v>0</v>
      </c>
      <c r="O13" s="32">
        <v>-132204.75073775</v>
      </c>
      <c r="P13" s="48">
        <f>O13/$I$5-1</f>
        <v>9.3971474943055355E-3</v>
      </c>
    </row>
    <row r="14" spans="1:16" x14ac:dyDescent="0.3">
      <c r="A14" s="11"/>
      <c r="B14" s="11"/>
      <c r="C14" s="11"/>
      <c r="D14" s="11"/>
      <c r="E14" s="11"/>
      <c r="F14" s="11"/>
      <c r="G14" s="14"/>
      <c r="H14" s="30" t="s">
        <v>25</v>
      </c>
      <c r="I14" s="31">
        <f>AVERAGE(I9:I13)</f>
        <v>1.0964078347312482E-19</v>
      </c>
      <c r="J14" s="8"/>
      <c r="M14" s="7" t="s">
        <v>11</v>
      </c>
      <c r="N14" s="48">
        <v>0.1</v>
      </c>
      <c r="O14" s="32">
        <v>-131998.5155907528</v>
      </c>
      <c r="P14" s="48">
        <f t="shared" ref="P14:P16" si="3">O14/$I$5-1</f>
        <v>7.8225205014752497E-3</v>
      </c>
    </row>
    <row r="15" spans="1:16" x14ac:dyDescent="0.3">
      <c r="A15" s="12"/>
      <c r="B15" s="3" t="s">
        <v>26</v>
      </c>
      <c r="C15" s="15">
        <v>42998</v>
      </c>
      <c r="E15" s="12"/>
      <c r="F15" s="12"/>
      <c r="H15" s="11"/>
      <c r="I15" s="11"/>
      <c r="M15" s="7" t="s">
        <v>11</v>
      </c>
      <c r="N15" s="48">
        <v>0.2</v>
      </c>
      <c r="O15" s="32">
        <v>-131741.34513306312</v>
      </c>
      <c r="P15" s="48">
        <f t="shared" si="3"/>
        <v>5.858997065568694E-3</v>
      </c>
    </row>
    <row r="16" spans="1:16" x14ac:dyDescent="0.3">
      <c r="A16" s="21"/>
      <c r="B16" s="7" t="s">
        <v>27</v>
      </c>
      <c r="C16" s="7" t="s">
        <v>28</v>
      </c>
      <c r="D16" s="16"/>
      <c r="E16" s="7" t="s">
        <v>29</v>
      </c>
      <c r="F16" s="7" t="s">
        <v>30</v>
      </c>
      <c r="G16" s="17"/>
      <c r="H16" s="12"/>
      <c r="I16" s="12"/>
      <c r="M16" s="7" t="s">
        <v>11</v>
      </c>
      <c r="N16" s="48">
        <v>0.3</v>
      </c>
      <c r="O16" s="32">
        <v>-131411.7119747742</v>
      </c>
      <c r="P16" s="48">
        <f t="shared" si="3"/>
        <v>3.3422133052301017E-3</v>
      </c>
    </row>
    <row r="17" spans="1:10" x14ac:dyDescent="0.3">
      <c r="A17" s="21"/>
      <c r="B17" s="7" t="s">
        <v>31</v>
      </c>
      <c r="C17" s="7" t="s">
        <v>32</v>
      </c>
      <c r="D17" s="16"/>
      <c r="E17" s="7" t="s">
        <v>33</v>
      </c>
      <c r="F17" s="7" t="s">
        <v>34</v>
      </c>
      <c r="G17" s="7" t="s">
        <v>35</v>
      </c>
      <c r="H17" s="18" t="s">
        <v>36</v>
      </c>
      <c r="I17" s="13" t="s">
        <v>37</v>
      </c>
      <c r="J17" s="8"/>
    </row>
    <row r="18" spans="1:10" x14ac:dyDescent="0.3">
      <c r="A18" s="21"/>
      <c r="B18" s="24">
        <f>C1+1</f>
        <v>43078</v>
      </c>
      <c r="C18" s="25"/>
      <c r="D18" s="8"/>
      <c r="E18" s="19"/>
      <c r="F18" s="25">
        <f>(B18-$B$18)*252/360</f>
        <v>0</v>
      </c>
      <c r="G18" s="7">
        <f>EXP(E19*F18)</f>
        <v>1</v>
      </c>
      <c r="H18" s="25"/>
      <c r="I18" s="25">
        <f>EXP(-F18*$C$4)</f>
        <v>1</v>
      </c>
      <c r="J18" s="8"/>
    </row>
    <row r="19" spans="1:10" x14ac:dyDescent="0.3">
      <c r="A19" s="21"/>
      <c r="B19" s="24">
        <v>43089</v>
      </c>
      <c r="C19" s="26">
        <f>(B19-C15)/360</f>
        <v>0.25277777777777777</v>
      </c>
      <c r="D19" s="16"/>
      <c r="E19" s="43">
        <f>$C$9</f>
        <v>1.3369954678271602E-2</v>
      </c>
      <c r="F19" s="26">
        <f>(B19-$B$18)/365.242</f>
        <v>3.0117018305671307E-2</v>
      </c>
      <c r="G19" s="20">
        <f>EXP(-E19*F19)</f>
        <v>0.9995974178881426</v>
      </c>
      <c r="H19" s="26">
        <f>G18-G19</f>
        <v>4.025821118573969E-4</v>
      </c>
      <c r="I19" s="26">
        <f>EXP(-F19*$C$4)</f>
        <v>0.99909689749358654</v>
      </c>
      <c r="J19" s="8"/>
    </row>
    <row r="20" spans="1:10" x14ac:dyDescent="0.3">
      <c r="A20" s="21"/>
      <c r="B20" s="24">
        <v>43179</v>
      </c>
      <c r="C20" s="26">
        <f>(B20-B19)/360</f>
        <v>0.25</v>
      </c>
      <c r="D20" s="16"/>
      <c r="E20" s="43">
        <f t="shared" ref="E20:E23" si="4">$C$9</f>
        <v>1.3369954678271602E-2</v>
      </c>
      <c r="F20" s="26">
        <f t="shared" ref="F20:F39" si="5">(B20-$B$18)/365.242</f>
        <v>0.27652898626116379</v>
      </c>
      <c r="G20" s="20">
        <f t="shared" ref="G20:G23" si="6">EXP(-E20*F20)</f>
        <v>0.99630964614138706</v>
      </c>
      <c r="H20" s="26">
        <f t="shared" ref="H20:H39" si="7">G19-G20</f>
        <v>3.2877717467555412E-3</v>
      </c>
      <c r="I20" s="26">
        <f t="shared" ref="I20:I39" si="8">EXP(-F20*$C$4)</f>
        <v>0.99173844617966489</v>
      </c>
      <c r="J20" s="8"/>
    </row>
    <row r="21" spans="1:10" x14ac:dyDescent="0.3">
      <c r="A21" s="21"/>
      <c r="B21" s="24">
        <v>43271</v>
      </c>
      <c r="C21" s="26">
        <f t="shared" ref="C21:C39" si="9">(B21-B20)/360</f>
        <v>0.25555555555555554</v>
      </c>
      <c r="D21" s="16"/>
      <c r="E21" s="43">
        <f t="shared" si="4"/>
        <v>1.3369954678271602E-2</v>
      </c>
      <c r="F21" s="26">
        <f t="shared" si="5"/>
        <v>0.52841677572677836</v>
      </c>
      <c r="G21" s="20">
        <f t="shared" si="6"/>
        <v>0.99295998945418518</v>
      </c>
      <c r="H21" s="26">
        <f t="shared" si="7"/>
        <v>3.3496566872018851E-3</v>
      </c>
      <c r="I21" s="26">
        <f t="shared" si="8"/>
        <v>0.98427248632063358</v>
      </c>
      <c r="J21" s="8"/>
    </row>
    <row r="22" spans="1:10" x14ac:dyDescent="0.3">
      <c r="A22" s="21"/>
      <c r="B22" s="24">
        <v>43363</v>
      </c>
      <c r="C22" s="26">
        <f t="shared" si="9"/>
        <v>0.25555555555555554</v>
      </c>
      <c r="D22" s="16"/>
      <c r="E22" s="43">
        <f t="shared" si="4"/>
        <v>1.3369954678271602E-2</v>
      </c>
      <c r="F22" s="26">
        <f t="shared" si="5"/>
        <v>0.780304565192393</v>
      </c>
      <c r="G22" s="20">
        <f t="shared" si="6"/>
        <v>0.98962159452678422</v>
      </c>
      <c r="H22" s="26">
        <f t="shared" si="7"/>
        <v>3.3383949274009561E-3</v>
      </c>
      <c r="I22" s="26">
        <f t="shared" si="8"/>
        <v>0.97686273135799551</v>
      </c>
      <c r="J22" s="8"/>
    </row>
    <row r="23" spans="1:10" x14ac:dyDescent="0.3">
      <c r="A23" s="21"/>
      <c r="B23" s="24">
        <v>43454</v>
      </c>
      <c r="C23" s="26">
        <f t="shared" si="9"/>
        <v>0.25277777777777777</v>
      </c>
      <c r="D23" s="16"/>
      <c r="E23" s="43">
        <f t="shared" si="4"/>
        <v>1.3369954678271602E-2</v>
      </c>
      <c r="F23" s="26">
        <f t="shared" si="5"/>
        <v>1.0294544439029465</v>
      </c>
      <c r="G23" s="20">
        <f t="shared" si="6"/>
        <v>0.98633052819714495</v>
      </c>
      <c r="H23" s="26">
        <f t="shared" si="7"/>
        <v>3.2910663296392695E-3</v>
      </c>
      <c r="I23" s="26">
        <f t="shared" si="8"/>
        <v>0.96958839429681698</v>
      </c>
      <c r="J23" s="8"/>
    </row>
    <row r="24" spans="1:10" x14ac:dyDescent="0.3">
      <c r="A24" s="21"/>
      <c r="B24" s="24">
        <v>43544</v>
      </c>
      <c r="C24" s="26">
        <f t="shared" si="9"/>
        <v>0.25</v>
      </c>
      <c r="D24" s="16"/>
      <c r="E24" s="42">
        <f>$C$10</f>
        <v>1.2534599951423994E-2</v>
      </c>
      <c r="F24" s="26">
        <f t="shared" si="5"/>
        <v>1.2758664118584391</v>
      </c>
      <c r="G24" s="20">
        <f>EXP(-$E$23*$F$23-(F24-$F$23)*E24)</f>
        <v>0.98328877323253916</v>
      </c>
      <c r="H24" s="26">
        <f t="shared" si="7"/>
        <v>3.0417549646057918E-3</v>
      </c>
      <c r="I24" s="26">
        <f t="shared" si="8"/>
        <v>0.96244727614113534</v>
      </c>
      <c r="J24" s="8"/>
    </row>
    <row r="25" spans="1:10" x14ac:dyDescent="0.3">
      <c r="A25" s="21"/>
      <c r="B25" s="24">
        <v>43636</v>
      </c>
      <c r="C25" s="26">
        <f t="shared" si="9"/>
        <v>0.25555555555555554</v>
      </c>
      <c r="D25" s="16"/>
      <c r="E25" s="42">
        <f t="shared" ref="E25:E27" si="10">$C$10</f>
        <v>1.2534599951423994E-2</v>
      </c>
      <c r="F25" s="26">
        <f t="shared" si="5"/>
        <v>1.5277542013240535</v>
      </c>
      <c r="G25" s="20">
        <f t="shared" ref="G25:G27" si="11">EXP(-$E$23*$F$23-(F25-$F$23)*E25)</f>
        <v>0.98018911899075412</v>
      </c>
      <c r="H25" s="26">
        <f t="shared" si="7"/>
        <v>3.0996542417850437E-3</v>
      </c>
      <c r="I25" s="26">
        <f t="shared" si="8"/>
        <v>0.95520182472419801</v>
      </c>
      <c r="J25" s="8"/>
    </row>
    <row r="26" spans="1:10" x14ac:dyDescent="0.3">
      <c r="A26" s="21"/>
      <c r="B26" s="24">
        <v>43728</v>
      </c>
      <c r="C26" s="26">
        <f t="shared" si="9"/>
        <v>0.25555555555555554</v>
      </c>
      <c r="D26" s="16"/>
      <c r="E26" s="42">
        <f t="shared" si="10"/>
        <v>1.2534599951423994E-2</v>
      </c>
      <c r="F26" s="26">
        <f t="shared" si="5"/>
        <v>1.7796419907896681</v>
      </c>
      <c r="G26" s="20">
        <f t="shared" si="11"/>
        <v>0.97709923589319481</v>
      </c>
      <c r="H26" s="26">
        <f t="shared" si="7"/>
        <v>3.0898830975593095E-3</v>
      </c>
      <c r="I26" s="26">
        <f t="shared" si="8"/>
        <v>0.94801091818211936</v>
      </c>
      <c r="J26" s="8"/>
    </row>
    <row r="27" spans="1:10" x14ac:dyDescent="0.3">
      <c r="A27" s="21"/>
      <c r="B27" s="24">
        <v>43819</v>
      </c>
      <c r="C27" s="26">
        <f t="shared" si="9"/>
        <v>0.25277777777777777</v>
      </c>
      <c r="D27" s="16"/>
      <c r="E27" s="42">
        <f t="shared" si="10"/>
        <v>1.2534599951423994E-2</v>
      </c>
      <c r="F27" s="26">
        <f t="shared" si="5"/>
        <v>2.0287918695002216</v>
      </c>
      <c r="G27" s="20">
        <f t="shared" si="11"/>
        <v>0.97405252069879611</v>
      </c>
      <c r="H27" s="26">
        <f t="shared" si="7"/>
        <v>3.046715194398697E-3</v>
      </c>
      <c r="I27" s="26">
        <f t="shared" si="8"/>
        <v>0.94095142994988079</v>
      </c>
      <c r="J27" s="8"/>
    </row>
    <row r="28" spans="1:10" x14ac:dyDescent="0.3">
      <c r="A28" s="21"/>
      <c r="B28" s="24">
        <v>43910</v>
      </c>
      <c r="C28" s="26">
        <f t="shared" si="9"/>
        <v>0.25277777777777777</v>
      </c>
      <c r="D28" s="16"/>
      <c r="E28" s="44">
        <f>$C$11</f>
        <v>1.5097385707745506E-2</v>
      </c>
      <c r="F28" s="26">
        <f t="shared" si="5"/>
        <v>2.2779417482107753</v>
      </c>
      <c r="G28" s="20">
        <f>EXP(-$E$23*$F$23-($F$27-$F$23)*$E$27-(F28-$F$27)*E28)</f>
        <v>0.97039549291943783</v>
      </c>
      <c r="H28" s="26">
        <f t="shared" si="7"/>
        <v>3.6570277793582795E-3</v>
      </c>
      <c r="I28" s="26">
        <f t="shared" si="8"/>
        <v>0.93394451112707133</v>
      </c>
      <c r="J28" s="8"/>
    </row>
    <row r="29" spans="1:10" x14ac:dyDescent="0.3">
      <c r="A29" s="21"/>
      <c r="B29" s="24">
        <v>44002</v>
      </c>
      <c r="C29" s="26">
        <f t="shared" si="9"/>
        <v>0.25555555555555554</v>
      </c>
      <c r="D29" s="16"/>
      <c r="E29" s="44">
        <f t="shared" ref="E29:E31" si="12">$C$11</f>
        <v>1.5097385707745506E-2</v>
      </c>
      <c r="F29" s="26">
        <f t="shared" si="5"/>
        <v>2.52982953767639</v>
      </c>
      <c r="G29" s="20">
        <f t="shared" ref="G29:G31" si="13">EXP(-$E$23*$F$23-($F$27-$F$23)*$E$27-(F29-$F$27)*E29)</f>
        <v>0.96671223509310122</v>
      </c>
      <c r="H29" s="26">
        <f t="shared" si="7"/>
        <v>3.6832578263366056E-3</v>
      </c>
      <c r="I29" s="26">
        <f t="shared" si="8"/>
        <v>0.92691363291770312</v>
      </c>
      <c r="J29" s="8"/>
    </row>
    <row r="30" spans="1:10" x14ac:dyDescent="0.3">
      <c r="A30" s="21"/>
      <c r="B30" s="24">
        <v>44094</v>
      </c>
      <c r="C30" s="26">
        <f t="shared" si="9"/>
        <v>0.25555555555555554</v>
      </c>
      <c r="D30" s="16"/>
      <c r="E30" s="44">
        <f t="shared" si="12"/>
        <v>1.5097385707745506E-2</v>
      </c>
      <c r="F30" s="26">
        <f t="shared" si="5"/>
        <v>2.7817173271420041</v>
      </c>
      <c r="G30" s="20">
        <f t="shared" si="13"/>
        <v>0.96304295753389713</v>
      </c>
      <c r="H30" s="26">
        <f t="shared" si="7"/>
        <v>3.6692775592040983E-3</v>
      </c>
      <c r="I30" s="26">
        <f t="shared" si="8"/>
        <v>0.9199356842430193</v>
      </c>
      <c r="J30" s="8"/>
    </row>
    <row r="31" spans="1:10" x14ac:dyDescent="0.3">
      <c r="A31" s="21"/>
      <c r="B31" s="24">
        <v>44185</v>
      </c>
      <c r="C31" s="26">
        <f t="shared" si="9"/>
        <v>0.25277777777777777</v>
      </c>
      <c r="D31" s="16"/>
      <c r="E31" s="44">
        <f t="shared" si="12"/>
        <v>1.5097385707745506E-2</v>
      </c>
      <c r="F31" s="26">
        <f t="shared" si="5"/>
        <v>3.0308672058525579</v>
      </c>
      <c r="G31" s="20">
        <f t="shared" si="13"/>
        <v>0.95942726456706395</v>
      </c>
      <c r="H31" s="26">
        <f t="shared" si="7"/>
        <v>3.6156929668331728E-3</v>
      </c>
      <c r="I31" s="26">
        <f t="shared" si="8"/>
        <v>0.91308526194009565</v>
      </c>
      <c r="J31" s="8"/>
    </row>
    <row r="32" spans="1:10" x14ac:dyDescent="0.3">
      <c r="A32" s="21"/>
      <c r="B32" s="24">
        <v>44275</v>
      </c>
      <c r="C32" s="26">
        <f t="shared" si="9"/>
        <v>0.25</v>
      </c>
      <c r="D32" s="16"/>
      <c r="E32" s="22">
        <f>$C$12</f>
        <v>1.6519378016297531E-2</v>
      </c>
      <c r="F32" s="26">
        <f t="shared" si="5"/>
        <v>3.2772791738080502</v>
      </c>
      <c r="G32" s="20">
        <f>EXP(-$E$23*$F$23-($F$27-$F$23)*$E$27-($F$31-$F$27)*$E$31-(F32-$F$31)*E32)</f>
        <v>0.95552978424921808</v>
      </c>
      <c r="H32" s="26">
        <f t="shared" si="7"/>
        <v>3.8974803178458695E-3</v>
      </c>
      <c r="I32" s="26">
        <f t="shared" si="8"/>
        <v>0.9063602951602957</v>
      </c>
      <c r="J32" s="8"/>
    </row>
    <row r="33" spans="1:10" x14ac:dyDescent="0.3">
      <c r="A33" s="21"/>
      <c r="B33" s="24">
        <v>44367</v>
      </c>
      <c r="C33" s="26">
        <f t="shared" si="9"/>
        <v>0.25555555555555554</v>
      </c>
      <c r="D33" s="16"/>
      <c r="E33" s="22">
        <f t="shared" ref="E33:E35" si="14">$C$12</f>
        <v>1.6519378016297531E-2</v>
      </c>
      <c r="F33" s="26">
        <f t="shared" si="5"/>
        <v>3.5291669632736649</v>
      </c>
      <c r="G33" s="20">
        <f t="shared" ref="G33:G35" si="15">EXP(-$E$23*$F$23-($F$27-$F$23)*$E$27-($F$31-$F$27)*$E$31-(F33-$F$31)*E33)</f>
        <v>0.9515620571617055</v>
      </c>
      <c r="H33" s="26">
        <f t="shared" si="7"/>
        <v>3.9677270875125847E-3</v>
      </c>
      <c r="I33" s="26">
        <f t="shared" si="8"/>
        <v>0.8995370751797116</v>
      </c>
      <c r="J33" s="8"/>
    </row>
    <row r="34" spans="1:10" x14ac:dyDescent="0.3">
      <c r="A34" s="21"/>
      <c r="B34" s="24">
        <v>44459</v>
      </c>
      <c r="C34" s="26">
        <f t="shared" si="9"/>
        <v>0.25555555555555554</v>
      </c>
      <c r="D34" s="16"/>
      <c r="E34" s="22">
        <f t="shared" si="14"/>
        <v>1.6519378016297531E-2</v>
      </c>
      <c r="F34" s="26">
        <f t="shared" si="5"/>
        <v>3.7810547527392795</v>
      </c>
      <c r="G34" s="20">
        <f t="shared" si="15"/>
        <v>0.94761080560274302</v>
      </c>
      <c r="H34" s="26">
        <f t="shared" si="7"/>
        <v>3.9512515589624764E-3</v>
      </c>
      <c r="I34" s="26">
        <f t="shared" si="8"/>
        <v>0.8927652214506635</v>
      </c>
      <c r="J34" s="8"/>
    </row>
    <row r="35" spans="1:10" x14ac:dyDescent="0.3">
      <c r="A35" s="21"/>
      <c r="B35" s="24">
        <v>44550</v>
      </c>
      <c r="C35" s="26">
        <f t="shared" si="9"/>
        <v>0.25277777777777777</v>
      </c>
      <c r="D35" s="16"/>
      <c r="E35" s="22">
        <f t="shared" si="14"/>
        <v>1.6519378016297531E-2</v>
      </c>
      <c r="F35" s="26">
        <f t="shared" si="5"/>
        <v>4.0302046314498332</v>
      </c>
      <c r="G35" s="20">
        <f t="shared" si="15"/>
        <v>0.94371864325110599</v>
      </c>
      <c r="H35" s="26">
        <f t="shared" si="7"/>
        <v>3.8921623516370296E-3</v>
      </c>
      <c r="I35" s="26">
        <f t="shared" si="8"/>
        <v>0.8861171275794788</v>
      </c>
      <c r="J35" s="8"/>
    </row>
    <row r="36" spans="1:10" x14ac:dyDescent="0.3">
      <c r="A36" s="21"/>
      <c r="B36" s="24">
        <v>44640</v>
      </c>
      <c r="C36" s="26">
        <f t="shared" si="9"/>
        <v>0.25</v>
      </c>
      <c r="D36" s="16"/>
      <c r="E36" s="23">
        <f>$C$13</f>
        <v>1.6434285997792453E-2</v>
      </c>
      <c r="F36" s="26">
        <f t="shared" si="5"/>
        <v>4.2766165994053251</v>
      </c>
      <c r="G36" s="20">
        <f>EXP(-$E$23*$F$23-($F$27-$F$23)*$E$27-($F$31-$F$27)*$E$31-($F$35-$F$31)*$E$35-(F36-$F$35)*E36)</f>
        <v>0.93990468347334799</v>
      </c>
      <c r="H36" s="26">
        <f t="shared" si="7"/>
        <v>3.8139597777580025E-3</v>
      </c>
      <c r="I36" s="26">
        <f t="shared" si="8"/>
        <v>0.87959078388040079</v>
      </c>
      <c r="J36" s="8"/>
    </row>
    <row r="37" spans="1:10" x14ac:dyDescent="0.3">
      <c r="A37" s="21"/>
      <c r="B37" s="24">
        <v>44732</v>
      </c>
      <c r="C37" s="26">
        <f t="shared" si="9"/>
        <v>0.25555555555555554</v>
      </c>
      <c r="D37" s="16"/>
      <c r="E37" s="23">
        <f t="shared" ref="E37:E39" si="16">$C$13</f>
        <v>1.6434285997792453E-2</v>
      </c>
      <c r="F37" s="26">
        <f t="shared" si="5"/>
        <v>4.5285043888709398</v>
      </c>
      <c r="G37" s="20">
        <f t="shared" ref="G37:G39" si="17">EXP(-$E$23*$F$23-($F$27-$F$23)*$E$27-($F$31-$F$27)*$E$31-($F$35-$F$31)*$E$35-(F37-$F$35)*E37)</f>
        <v>0.93602189995431628</v>
      </c>
      <c r="H37" s="26">
        <f t="shared" si="7"/>
        <v>3.8827835190317073E-3</v>
      </c>
      <c r="I37" s="26">
        <f t="shared" si="8"/>
        <v>0.87296908890616431</v>
      </c>
      <c r="J37" s="8"/>
    </row>
    <row r="38" spans="1:10" x14ac:dyDescent="0.3">
      <c r="A38" s="21"/>
      <c r="B38" s="24">
        <v>44824</v>
      </c>
      <c r="C38" s="26">
        <f t="shared" si="9"/>
        <v>0.25555555555555554</v>
      </c>
      <c r="D38" s="16"/>
      <c r="E38" s="23">
        <f t="shared" si="16"/>
        <v>1.6434285997792453E-2</v>
      </c>
      <c r="F38" s="26">
        <f t="shared" si="5"/>
        <v>4.7803921783365544</v>
      </c>
      <c r="G38" s="20">
        <f t="shared" si="17"/>
        <v>0.93215515636797208</v>
      </c>
      <c r="H38" s="26">
        <f t="shared" si="7"/>
        <v>3.8667435863442012E-3</v>
      </c>
      <c r="I38" s="26">
        <f t="shared" si="8"/>
        <v>0.86639724307215926</v>
      </c>
      <c r="J38" s="8"/>
    </row>
    <row r="39" spans="1:10" x14ac:dyDescent="0.3">
      <c r="A39" s="21"/>
      <c r="B39" s="24">
        <v>44915</v>
      </c>
      <c r="C39" s="26">
        <f t="shared" si="9"/>
        <v>0.25277777777777777</v>
      </c>
      <c r="D39" s="16"/>
      <c r="E39" s="23">
        <f t="shared" si="16"/>
        <v>1.6434285997792453E-2</v>
      </c>
      <c r="F39" s="26">
        <f t="shared" si="5"/>
        <v>5.0295420570471085</v>
      </c>
      <c r="G39" s="20">
        <f t="shared" si="17"/>
        <v>0.92834615701309142</v>
      </c>
      <c r="H39" s="26">
        <f t="shared" si="7"/>
        <v>3.80899935488066E-3</v>
      </c>
      <c r="I39" s="26">
        <f t="shared" si="8"/>
        <v>0.85994550182677321</v>
      </c>
      <c r="J39" s="8"/>
    </row>
    <row r="40" spans="1:10" x14ac:dyDescent="0.3">
      <c r="A40" s="11"/>
      <c r="B40" s="11"/>
      <c r="C40" s="11"/>
      <c r="E40" s="11"/>
      <c r="F40" s="11"/>
      <c r="G40" s="11"/>
      <c r="H40" s="11"/>
      <c r="I40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9AF41-D885-40BB-ADB2-A303BC35D353}">
  <sheetPr codeName="Sheet4"/>
  <dimension ref="A1:O40"/>
  <sheetViews>
    <sheetView showGridLines="0" zoomScale="70" zoomScaleNormal="70" workbookViewId="0">
      <selection activeCell="L12" sqref="A12:L16"/>
    </sheetView>
  </sheetViews>
  <sheetFormatPr defaultRowHeight="14.4" x14ac:dyDescent="0.3"/>
  <cols>
    <col min="1" max="1" width="8.88671875" style="5"/>
    <col min="2" max="2" width="21.109375" style="5" bestFit="1" customWidth="1"/>
    <col min="3" max="3" width="20.21875" style="5" customWidth="1"/>
    <col min="4" max="4" width="10.5546875" style="5" customWidth="1"/>
    <col min="5" max="5" width="23.5546875" style="5" bestFit="1" customWidth="1"/>
    <col min="6" max="6" width="20.21875" style="5" customWidth="1"/>
    <col min="7" max="7" width="17.21875" style="5" customWidth="1"/>
    <col min="8" max="8" width="26" style="5" customWidth="1"/>
    <col min="9" max="9" width="18.44140625" style="5" customWidth="1"/>
    <col min="10" max="12" width="8.88671875" style="5"/>
    <col min="13" max="13" width="34.5546875" style="5" bestFit="1" customWidth="1"/>
    <col min="14" max="14" width="13.44140625" style="5" customWidth="1"/>
    <col min="15" max="16384" width="8.88671875" style="5"/>
  </cols>
  <sheetData>
    <row r="1" spans="1:15" x14ac:dyDescent="0.3">
      <c r="B1" s="1" t="s">
        <v>0</v>
      </c>
      <c r="C1" s="41">
        <v>43077</v>
      </c>
      <c r="D1" s="2"/>
      <c r="E1" s="2"/>
      <c r="F1" s="34" t="s">
        <v>1</v>
      </c>
      <c r="G1" s="4"/>
      <c r="H1" s="4"/>
      <c r="I1" s="4"/>
    </row>
    <row r="2" spans="1:15" x14ac:dyDescent="0.3">
      <c r="B2" s="2"/>
      <c r="C2" s="2"/>
      <c r="D2" s="2"/>
      <c r="E2" s="6"/>
      <c r="F2" s="7" t="s">
        <v>2</v>
      </c>
      <c r="G2" s="35" t="s">
        <v>3</v>
      </c>
      <c r="H2" s="7" t="s">
        <v>4</v>
      </c>
      <c r="I2" s="54">
        <f>N8</f>
        <v>2.7422647061857711E-2</v>
      </c>
      <c r="J2" s="8"/>
    </row>
    <row r="3" spans="1:15" x14ac:dyDescent="0.3">
      <c r="A3" s="12"/>
      <c r="B3" s="34" t="s">
        <v>5</v>
      </c>
      <c r="C3" s="4"/>
      <c r="D3" s="2"/>
      <c r="E3" s="6"/>
      <c r="F3" s="7" t="s">
        <v>6</v>
      </c>
      <c r="G3" s="36">
        <f>B33</f>
        <v>44367</v>
      </c>
      <c r="H3" s="7" t="s">
        <v>7</v>
      </c>
      <c r="I3" s="33">
        <f>N9</f>
        <v>3.5234820839226333</v>
      </c>
      <c r="J3" s="8"/>
    </row>
    <row r="4" spans="1:15" x14ac:dyDescent="0.3">
      <c r="A4" s="21"/>
      <c r="B4" s="7" t="s">
        <v>8</v>
      </c>
      <c r="C4" s="39">
        <v>0.03</v>
      </c>
      <c r="D4" s="9"/>
      <c r="E4" s="6"/>
      <c r="F4" s="7" t="s">
        <v>9</v>
      </c>
      <c r="G4" s="35">
        <v>115</v>
      </c>
      <c r="H4" s="7" t="s">
        <v>10</v>
      </c>
      <c r="I4" s="33">
        <f>I2*10000/I3</f>
        <v>77.828257413270407</v>
      </c>
      <c r="J4" s="8"/>
    </row>
    <row r="5" spans="1:15" x14ac:dyDescent="0.3">
      <c r="A5" s="21"/>
      <c r="B5" s="7" t="s">
        <v>11</v>
      </c>
      <c r="C5" s="40">
        <v>0.4</v>
      </c>
      <c r="D5" s="9"/>
      <c r="E5" s="6"/>
      <c r="F5" s="7" t="s">
        <v>12</v>
      </c>
      <c r="G5" s="37">
        <v>10000000</v>
      </c>
      <c r="H5" s="7" t="s">
        <v>13</v>
      </c>
      <c r="I5" s="32">
        <f>IF(G2="L",1,-1)*((I4-G4)*G5/10000)*I3</f>
        <v>-130973.96903252567</v>
      </c>
      <c r="J5" s="8"/>
    </row>
    <row r="6" spans="1:15" x14ac:dyDescent="0.3">
      <c r="A6" s="11"/>
      <c r="B6" s="10"/>
      <c r="C6" s="11"/>
      <c r="F6" s="11"/>
      <c r="G6" s="11"/>
      <c r="H6" s="11"/>
      <c r="I6" s="11"/>
      <c r="N6" s="49"/>
    </row>
    <row r="7" spans="1:15" x14ac:dyDescent="0.3">
      <c r="A7" s="12"/>
      <c r="B7" s="34" t="s">
        <v>14</v>
      </c>
      <c r="C7" s="12"/>
      <c r="D7" s="12"/>
      <c r="E7" s="12"/>
      <c r="F7" s="12"/>
      <c r="G7" s="12"/>
      <c r="H7" s="12"/>
      <c r="I7" s="12"/>
      <c r="M7" s="34" t="s">
        <v>38</v>
      </c>
      <c r="N7" s="50"/>
    </row>
    <row r="8" spans="1:15" x14ac:dyDescent="0.3">
      <c r="A8" s="21"/>
      <c r="B8" s="7" t="s">
        <v>15</v>
      </c>
      <c r="C8" s="7" t="s">
        <v>42</v>
      </c>
      <c r="D8" s="7" t="s">
        <v>16</v>
      </c>
      <c r="E8" s="7" t="s">
        <v>39</v>
      </c>
      <c r="F8" s="7" t="s">
        <v>18</v>
      </c>
      <c r="G8" s="7" t="s">
        <v>19</v>
      </c>
      <c r="H8" s="7" t="s">
        <v>40</v>
      </c>
      <c r="I8" s="7" t="s">
        <v>41</v>
      </c>
      <c r="J8" s="8"/>
      <c r="M8" s="13" t="s">
        <v>18</v>
      </c>
      <c r="N8" s="46">
        <f>(1-$C$5)*SUMPRODUCT($H$19:H33,$I$19:I33)</f>
        <v>2.7422647061857711E-2</v>
      </c>
    </row>
    <row r="9" spans="1:15" x14ac:dyDescent="0.3">
      <c r="A9" s="21"/>
      <c r="B9" s="27" t="s">
        <v>20</v>
      </c>
      <c r="C9" s="29">
        <v>1.3369954678085562E-2</v>
      </c>
      <c r="D9" s="38">
        <v>65</v>
      </c>
      <c r="E9" s="28">
        <f>F9*10000/G9</f>
        <v>64.999999998745096</v>
      </c>
      <c r="F9" s="53">
        <f>(1-$C$5)*SUMPRODUCT($H$19:H23,$I$19:I23)</f>
        <v>8.0471618419938312E-3</v>
      </c>
      <c r="G9" s="55">
        <f>SUMPRODUCT($C$19:C23,$G$19:G23,$I$19:I23)</f>
        <v>1.2380248987921831</v>
      </c>
      <c r="H9" s="52">
        <f>D9-E9</f>
        <v>1.2549037364806281E-9</v>
      </c>
      <c r="I9" s="52">
        <f>H9^2</f>
        <v>1.5747833878330418E-18</v>
      </c>
      <c r="J9" s="8"/>
      <c r="M9" s="13" t="s">
        <v>19</v>
      </c>
      <c r="N9" s="47">
        <f>SUMPRODUCT($C$19:C33,$G$19:G33,$I$19:I33)</f>
        <v>3.5234820839226333</v>
      </c>
    </row>
    <row r="10" spans="1:15" x14ac:dyDescent="0.3">
      <c r="A10" s="21"/>
      <c r="B10" s="27" t="s">
        <v>21</v>
      </c>
      <c r="C10" s="29">
        <v>1.2534599951814506E-2</v>
      </c>
      <c r="D10" s="38">
        <v>69</v>
      </c>
      <c r="E10" s="28">
        <f t="shared" ref="E10:E13" si="0">F10*10000/G10</f>
        <v>68.999999999933053</v>
      </c>
      <c r="F10" s="53">
        <f>(1-$C$5)*SUMPRODUCT($H$19:H27,$I$19:I27)</f>
        <v>1.5057788701823956E-2</v>
      </c>
      <c r="G10" s="55">
        <f>SUMPRODUCT($C$19:C27,$G$19:G27,$I$19:I27)</f>
        <v>2.1822882176577632</v>
      </c>
      <c r="H10" s="52">
        <f t="shared" ref="H10:H13" si="1">D10-E10</f>
        <v>6.694733656331664E-11</v>
      </c>
      <c r="I10" s="52">
        <f t="shared" ref="I10:I13" si="2">H10^2</f>
        <v>4.481945872921993E-21</v>
      </c>
      <c r="J10" s="8"/>
      <c r="M10" s="13" t="s">
        <v>17</v>
      </c>
      <c r="N10" s="51">
        <f>N8*10000/N9</f>
        <v>77.828257413270407</v>
      </c>
    </row>
    <row r="11" spans="1:15" x14ac:dyDescent="0.3">
      <c r="A11" s="21"/>
      <c r="B11" s="27" t="s">
        <v>22</v>
      </c>
      <c r="C11" s="29">
        <v>1.5097385707475609E-2</v>
      </c>
      <c r="D11" s="38">
        <v>75</v>
      </c>
      <c r="E11" s="28">
        <f t="shared" si="0"/>
        <v>75.00000000020944</v>
      </c>
      <c r="F11" s="53">
        <f>(1-$C$5)*SUMPRODUCT($H$19:H31,$I$19:I31)</f>
        <v>2.3161663643382336E-2</v>
      </c>
      <c r="G11" s="55">
        <f>SUMPRODUCT($C$19:C31,$G$19:G31,$I$19:I31)</f>
        <v>3.0882218191090209</v>
      </c>
      <c r="H11" s="52">
        <f t="shared" si="1"/>
        <v>-2.0943957679264713E-10</v>
      </c>
      <c r="I11" s="52">
        <f t="shared" si="2"/>
        <v>4.3864936327083135E-20</v>
      </c>
      <c r="J11" s="8"/>
    </row>
    <row r="12" spans="1:15" x14ac:dyDescent="0.3">
      <c r="A12" s="21"/>
      <c r="B12" s="27" t="s">
        <v>23</v>
      </c>
      <c r="C12" s="29">
        <v>1.6519378016566336E-2</v>
      </c>
      <c r="D12" s="38">
        <v>80</v>
      </c>
      <c r="E12" s="28">
        <f t="shared" si="0"/>
        <v>80.000000000308816</v>
      </c>
      <c r="F12" s="53">
        <f>(1-$C$5)*SUMPRODUCT($H$19:H35,$I$19:I35)</f>
        <v>3.1608518079615261E-2</v>
      </c>
      <c r="G12" s="55">
        <f>SUMPRODUCT($C$19:C35,$G$19:G35,$I$19:I35)</f>
        <v>3.9510647599366555</v>
      </c>
      <c r="H12" s="52">
        <f t="shared" si="1"/>
        <v>-3.0881608381605474E-10</v>
      </c>
      <c r="I12" s="52">
        <f t="shared" si="2"/>
        <v>9.5367373623484548E-20</v>
      </c>
      <c r="J12" s="8"/>
      <c r="M12" s="34" t="s">
        <v>1</v>
      </c>
      <c r="N12" s="34"/>
      <c r="O12" s="34"/>
    </row>
    <row r="13" spans="1:15" x14ac:dyDescent="0.3">
      <c r="A13" s="21"/>
      <c r="B13" s="27" t="s">
        <v>24</v>
      </c>
      <c r="C13" s="29">
        <v>1.643428599805033E-2</v>
      </c>
      <c r="D13" s="38">
        <v>83</v>
      </c>
      <c r="E13" s="28">
        <f t="shared" si="0"/>
        <v>83.000000000428003</v>
      </c>
      <c r="F13" s="53">
        <f>(1-$C$5)*SUMPRODUCT($H$19:H39,$I$19:I39)</f>
        <v>3.9630483103459534E-2</v>
      </c>
      <c r="G13" s="55">
        <f>SUMPRODUCT($C$19:C39,$G$19:G39,$I$19:I39)</f>
        <v>4.7747570003921895</v>
      </c>
      <c r="H13" s="52">
        <f t="shared" si="1"/>
        <v>-4.2800252231245395E-10</v>
      </c>
      <c r="I13" s="52">
        <f t="shared" si="2"/>
        <v>1.8318615910582264E-19</v>
      </c>
      <c r="J13" s="8"/>
      <c r="M13" s="7" t="s">
        <v>43</v>
      </c>
      <c r="N13" s="32">
        <v>-130966.79296123594</v>
      </c>
      <c r="O13" s="48">
        <f>N13/$I$5-1</f>
        <v>-5.4790057465115005E-5</v>
      </c>
    </row>
    <row r="14" spans="1:15" x14ac:dyDescent="0.3">
      <c r="A14" s="11"/>
      <c r="B14" s="11"/>
      <c r="C14" s="11"/>
      <c r="D14" s="11"/>
      <c r="E14" s="11"/>
      <c r="F14" s="11"/>
      <c r="G14" s="14"/>
      <c r="H14" s="30" t="s">
        <v>25</v>
      </c>
      <c r="I14" s="31">
        <f>AVERAGE(I9:I13)</f>
        <v>3.8033676055247083E-19</v>
      </c>
      <c r="J14" s="8"/>
      <c r="M14" s="7" t="s">
        <v>44</v>
      </c>
      <c r="N14" s="32">
        <v>-130961.01533120524</v>
      </c>
      <c r="O14" s="48">
        <f t="shared" ref="O14:O17" si="3">N14/$I$5-1</f>
        <v>-9.8902869143491223E-5</v>
      </c>
    </row>
    <row r="15" spans="1:15" x14ac:dyDescent="0.3">
      <c r="A15" s="12"/>
      <c r="B15" s="3" t="s">
        <v>26</v>
      </c>
      <c r="C15" s="15">
        <v>42998</v>
      </c>
      <c r="E15" s="12"/>
      <c r="F15" s="12"/>
      <c r="H15" s="11"/>
      <c r="I15" s="11"/>
      <c r="M15" s="7" t="s">
        <v>45</v>
      </c>
      <c r="N15" s="32">
        <v>-129427.15564514342</v>
      </c>
      <c r="O15" s="48">
        <f t="shared" si="3"/>
        <v>-1.1810082559215451E-2</v>
      </c>
    </row>
    <row r="16" spans="1:15" x14ac:dyDescent="0.3">
      <c r="A16" s="21"/>
      <c r="B16" s="7" t="s">
        <v>27</v>
      </c>
      <c r="C16" s="7" t="s">
        <v>28</v>
      </c>
      <c r="D16" s="16"/>
      <c r="E16" s="7" t="s">
        <v>29</v>
      </c>
      <c r="F16" s="7" t="s">
        <v>30</v>
      </c>
      <c r="G16" s="17"/>
      <c r="H16" s="12"/>
      <c r="I16" s="12"/>
      <c r="M16" s="7" t="s">
        <v>47</v>
      </c>
      <c r="N16" s="32">
        <v>-128974.8251958911</v>
      </c>
      <c r="O16" s="48">
        <f t="shared" si="3"/>
        <v>-1.5263673013819257E-2</v>
      </c>
    </row>
    <row r="17" spans="1:15" x14ac:dyDescent="0.3">
      <c r="A17" s="21"/>
      <c r="B17" s="7" t="s">
        <v>31</v>
      </c>
      <c r="C17" s="7" t="s">
        <v>32</v>
      </c>
      <c r="D17" s="16"/>
      <c r="E17" s="7" t="s">
        <v>33</v>
      </c>
      <c r="F17" s="7" t="s">
        <v>34</v>
      </c>
      <c r="G17" s="7" t="s">
        <v>35</v>
      </c>
      <c r="H17" s="18" t="s">
        <v>36</v>
      </c>
      <c r="I17" s="13" t="s">
        <v>37</v>
      </c>
      <c r="J17" s="8"/>
      <c r="M17" s="7" t="s">
        <v>46</v>
      </c>
      <c r="N17" s="32">
        <v>-130973.96903230269</v>
      </c>
      <c r="O17" s="48">
        <f t="shared" si="3"/>
        <v>-1.702415985960215E-12</v>
      </c>
    </row>
    <row r="18" spans="1:15" x14ac:dyDescent="0.3">
      <c r="A18" s="21"/>
      <c r="B18" s="24">
        <f>C1+1</f>
        <v>43078</v>
      </c>
      <c r="C18" s="25"/>
      <c r="D18" s="8"/>
      <c r="E18" s="19"/>
      <c r="F18" s="25">
        <f>(B18-$B$18)*252/360</f>
        <v>0</v>
      </c>
      <c r="G18" s="7">
        <f>EXP(E19*F18)</f>
        <v>1</v>
      </c>
      <c r="H18" s="25"/>
      <c r="I18" s="25">
        <f>EXP(-F18*$C$4)</f>
        <v>1</v>
      </c>
      <c r="J18" s="8"/>
    </row>
    <row r="19" spans="1:15" x14ac:dyDescent="0.3">
      <c r="A19" s="21"/>
      <c r="B19" s="24">
        <v>43089</v>
      </c>
      <c r="C19" s="26">
        <f>(B19-C15)/360</f>
        <v>0.25277777777777777</v>
      </c>
      <c r="D19" s="16"/>
      <c r="E19" s="43">
        <f>$C$9</f>
        <v>1.3369954678085562E-2</v>
      </c>
      <c r="F19" s="26">
        <f>(B19-$B$18)/365.242</f>
        <v>3.0117018305671307E-2</v>
      </c>
      <c r="G19" s="20">
        <f>EXP(-E19*F19)</f>
        <v>0.99959741788814815</v>
      </c>
      <c r="H19" s="26">
        <f>G18-G19</f>
        <v>4.0258211185184578E-4</v>
      </c>
      <c r="I19" s="26">
        <f>EXP(-F19*$C$4)</f>
        <v>0.99909689749358654</v>
      </c>
      <c r="J19" s="8"/>
    </row>
    <row r="20" spans="1:15" x14ac:dyDescent="0.3">
      <c r="A20" s="21"/>
      <c r="B20" s="24">
        <v>43179</v>
      </c>
      <c r="C20" s="26">
        <f>(B20-B19)/360</f>
        <v>0.25</v>
      </c>
      <c r="D20" s="16"/>
      <c r="E20" s="43">
        <f t="shared" ref="E20:E23" si="4">$C$9</f>
        <v>1.3369954678085562E-2</v>
      </c>
      <c r="F20" s="26">
        <f t="shared" ref="F20:F39" si="5">(B20-$B$18)/365.242</f>
        <v>0.27652898626116379</v>
      </c>
      <c r="G20" s="20">
        <f t="shared" ref="G20:G23" si="6">EXP(-E20*F20)</f>
        <v>0.99630964614143824</v>
      </c>
      <c r="H20" s="26">
        <f t="shared" ref="H20:H39" si="7">G19-G20</f>
        <v>3.287771746709911E-3</v>
      </c>
      <c r="I20" s="26">
        <f t="shared" ref="I20:I39" si="8">EXP(-F20*$C$4)</f>
        <v>0.99173844617966489</v>
      </c>
      <c r="J20" s="8"/>
    </row>
    <row r="21" spans="1:15" x14ac:dyDescent="0.3">
      <c r="A21" s="21"/>
      <c r="B21" s="24">
        <v>43271</v>
      </c>
      <c r="C21" s="26">
        <f t="shared" ref="C21:C39" si="9">(B21-B20)/360</f>
        <v>0.25555555555555554</v>
      </c>
      <c r="D21" s="16"/>
      <c r="E21" s="43">
        <f t="shared" si="4"/>
        <v>1.3369954678085562E-2</v>
      </c>
      <c r="F21" s="26">
        <f t="shared" si="5"/>
        <v>0.52841677572677836</v>
      </c>
      <c r="G21" s="20">
        <f t="shared" si="6"/>
        <v>0.99295998945428277</v>
      </c>
      <c r="H21" s="26">
        <f t="shared" si="7"/>
        <v>3.3496566871554778E-3</v>
      </c>
      <c r="I21" s="26">
        <f t="shared" si="8"/>
        <v>0.98427248632063358</v>
      </c>
      <c r="J21" s="8"/>
    </row>
    <row r="22" spans="1:15" x14ac:dyDescent="0.3">
      <c r="A22" s="21"/>
      <c r="B22" s="24">
        <v>43363</v>
      </c>
      <c r="C22" s="26">
        <f t="shared" si="9"/>
        <v>0.25555555555555554</v>
      </c>
      <c r="D22" s="16"/>
      <c r="E22" s="43">
        <f t="shared" si="4"/>
        <v>1.3369954678085562E-2</v>
      </c>
      <c r="F22" s="26">
        <f t="shared" si="5"/>
        <v>0.780304565192393</v>
      </c>
      <c r="G22" s="20">
        <f t="shared" si="6"/>
        <v>0.98962159452692788</v>
      </c>
      <c r="H22" s="26">
        <f t="shared" si="7"/>
        <v>3.3383949273548819E-3</v>
      </c>
      <c r="I22" s="26">
        <f t="shared" si="8"/>
        <v>0.97686273135799551</v>
      </c>
      <c r="J22" s="8"/>
    </row>
    <row r="23" spans="1:15" x14ac:dyDescent="0.3">
      <c r="A23" s="21"/>
      <c r="B23" s="24">
        <v>43454</v>
      </c>
      <c r="C23" s="26">
        <f t="shared" si="9"/>
        <v>0.25277777777777777</v>
      </c>
      <c r="D23" s="16"/>
      <c r="E23" s="43">
        <f t="shared" si="4"/>
        <v>1.3369954678085562E-2</v>
      </c>
      <c r="F23" s="26">
        <f t="shared" si="5"/>
        <v>1.0294544439029465</v>
      </c>
      <c r="G23" s="20">
        <f t="shared" si="6"/>
        <v>0.98633052819733391</v>
      </c>
      <c r="H23" s="26">
        <f t="shared" si="7"/>
        <v>3.2910663295939724E-3</v>
      </c>
      <c r="I23" s="26">
        <f t="shared" si="8"/>
        <v>0.96958839429681698</v>
      </c>
      <c r="J23" s="8"/>
    </row>
    <row r="24" spans="1:15" x14ac:dyDescent="0.3">
      <c r="A24" s="21"/>
      <c r="B24" s="24">
        <v>43544</v>
      </c>
      <c r="C24" s="26">
        <f t="shared" si="9"/>
        <v>0.25</v>
      </c>
      <c r="D24" s="16"/>
      <c r="E24" s="42">
        <f>$C$10</f>
        <v>1.2534599951814506E-2</v>
      </c>
      <c r="F24" s="26">
        <f t="shared" si="5"/>
        <v>1.2758664118584391</v>
      </c>
      <c r="G24" s="20">
        <f>EXP(-$E$23*$F$23-(F24-$F$23)*E24)</f>
        <v>0.98328877323263286</v>
      </c>
      <c r="H24" s="26">
        <f t="shared" si="7"/>
        <v>3.0417549647010489E-3</v>
      </c>
      <c r="I24" s="26">
        <f t="shared" si="8"/>
        <v>0.96244727614113534</v>
      </c>
      <c r="J24" s="8"/>
    </row>
    <row r="25" spans="1:15" x14ac:dyDescent="0.3">
      <c r="A25" s="21"/>
      <c r="B25" s="24">
        <v>43636</v>
      </c>
      <c r="C25" s="26">
        <f t="shared" si="9"/>
        <v>0.25555555555555554</v>
      </c>
      <c r="D25" s="16"/>
      <c r="E25" s="42">
        <f t="shared" ref="E25:E27" si="10">$C$10</f>
        <v>1.2534599951814506E-2</v>
      </c>
      <c r="F25" s="26">
        <f t="shared" si="5"/>
        <v>1.5277542013240535</v>
      </c>
      <c r="G25" s="20">
        <f t="shared" ref="G25:G27" si="11">EXP(-$E$23*$F$23-(F25-$F$23)*E25)</f>
        <v>0.98018911899075112</v>
      </c>
      <c r="H25" s="26">
        <f t="shared" si="7"/>
        <v>3.0996542418817441E-3</v>
      </c>
      <c r="I25" s="26">
        <f t="shared" si="8"/>
        <v>0.95520182472419801</v>
      </c>
      <c r="J25" s="8"/>
    </row>
    <row r="26" spans="1:15" x14ac:dyDescent="0.3">
      <c r="A26" s="21"/>
      <c r="B26" s="24">
        <v>43728</v>
      </c>
      <c r="C26" s="26">
        <f t="shared" si="9"/>
        <v>0.25555555555555554</v>
      </c>
      <c r="D26" s="16"/>
      <c r="E26" s="42">
        <f t="shared" si="10"/>
        <v>1.2534599951814506E-2</v>
      </c>
      <c r="F26" s="26">
        <f t="shared" si="5"/>
        <v>1.7796419907896681</v>
      </c>
      <c r="G26" s="20">
        <f t="shared" si="11"/>
        <v>0.97709923589309566</v>
      </c>
      <c r="H26" s="26">
        <f t="shared" si="7"/>
        <v>3.0898830976554548E-3</v>
      </c>
      <c r="I26" s="26">
        <f t="shared" si="8"/>
        <v>0.94801091818211936</v>
      </c>
      <c r="J26" s="8"/>
    </row>
    <row r="27" spans="1:15" x14ac:dyDescent="0.3">
      <c r="A27" s="21"/>
      <c r="B27" s="24">
        <v>43819</v>
      </c>
      <c r="C27" s="26">
        <f t="shared" si="9"/>
        <v>0.25277777777777777</v>
      </c>
      <c r="D27" s="16"/>
      <c r="E27" s="42">
        <f t="shared" si="10"/>
        <v>1.2534599951814506E-2</v>
      </c>
      <c r="F27" s="26">
        <f t="shared" si="5"/>
        <v>2.0287918695002216</v>
      </c>
      <c r="G27" s="20">
        <f t="shared" si="11"/>
        <v>0.9740525206986026</v>
      </c>
      <c r="H27" s="26">
        <f t="shared" si="7"/>
        <v>3.0467151944930659E-3</v>
      </c>
      <c r="I27" s="26">
        <f t="shared" si="8"/>
        <v>0.94095142994988079</v>
      </c>
      <c r="J27" s="8"/>
    </row>
    <row r="28" spans="1:15" x14ac:dyDescent="0.3">
      <c r="A28" s="21"/>
      <c r="B28" s="24">
        <v>43910</v>
      </c>
      <c r="C28" s="26">
        <f t="shared" si="9"/>
        <v>0.25277777777777777</v>
      </c>
      <c r="D28" s="16"/>
      <c r="E28" s="44">
        <f>$C$11</f>
        <v>1.5097385707475609E-2</v>
      </c>
      <c r="F28" s="26">
        <f t="shared" si="5"/>
        <v>2.2779417482107753</v>
      </c>
      <c r="G28" s="20">
        <f>EXP(-$E$23*$F$23-($F$27-$F$23)*$E$27-(F28-$F$27)*E28)</f>
        <v>0.97039549291931027</v>
      </c>
      <c r="H28" s="26">
        <f t="shared" si="7"/>
        <v>3.6570277792923322E-3</v>
      </c>
      <c r="I28" s="26">
        <f t="shared" si="8"/>
        <v>0.93394451112707133</v>
      </c>
      <c r="J28" s="8"/>
    </row>
    <row r="29" spans="1:15" x14ac:dyDescent="0.3">
      <c r="A29" s="21"/>
      <c r="B29" s="24">
        <v>44002</v>
      </c>
      <c r="C29" s="26">
        <f t="shared" si="9"/>
        <v>0.25555555555555554</v>
      </c>
      <c r="D29" s="16"/>
      <c r="E29" s="44">
        <f t="shared" ref="E29:E31" si="12">$C$11</f>
        <v>1.5097385707475609E-2</v>
      </c>
      <c r="F29" s="26">
        <f t="shared" si="5"/>
        <v>2.52982953767639</v>
      </c>
      <c r="G29" s="20">
        <f t="shared" ref="G29:G31" si="13">EXP(-$E$23*$F$23-($F$27-$F$23)*$E$27-(F29-$F$27)*E29)</f>
        <v>0.96671223509303983</v>
      </c>
      <c r="H29" s="26">
        <f t="shared" si="7"/>
        <v>3.6832578262704363E-3</v>
      </c>
      <c r="I29" s="26">
        <f t="shared" si="8"/>
        <v>0.92691363291770312</v>
      </c>
      <c r="J29" s="8"/>
    </row>
    <row r="30" spans="1:15" x14ac:dyDescent="0.3">
      <c r="A30" s="21"/>
      <c r="B30" s="24">
        <v>44094</v>
      </c>
      <c r="C30" s="26">
        <f t="shared" si="9"/>
        <v>0.25555555555555554</v>
      </c>
      <c r="D30" s="16"/>
      <c r="E30" s="44">
        <f t="shared" si="12"/>
        <v>1.5097385707475609E-2</v>
      </c>
      <c r="F30" s="26">
        <f t="shared" si="5"/>
        <v>2.7817173271420041</v>
      </c>
      <c r="G30" s="20">
        <f t="shared" si="13"/>
        <v>0.96304295753390146</v>
      </c>
      <c r="H30" s="26">
        <f t="shared" si="7"/>
        <v>3.6692775591383731E-3</v>
      </c>
      <c r="I30" s="26">
        <f t="shared" si="8"/>
        <v>0.9199356842430193</v>
      </c>
      <c r="J30" s="8"/>
    </row>
    <row r="31" spans="1:15" x14ac:dyDescent="0.3">
      <c r="A31" s="21"/>
      <c r="B31" s="24">
        <v>44185</v>
      </c>
      <c r="C31" s="26">
        <f t="shared" si="9"/>
        <v>0.25277777777777777</v>
      </c>
      <c r="D31" s="16"/>
      <c r="E31" s="44">
        <f t="shared" si="12"/>
        <v>1.5097385707475609E-2</v>
      </c>
      <c r="F31" s="26">
        <f t="shared" si="5"/>
        <v>3.0308672058525579</v>
      </c>
      <c r="G31" s="20">
        <f t="shared" si="13"/>
        <v>0.95942726456713279</v>
      </c>
      <c r="H31" s="26">
        <f t="shared" si="7"/>
        <v>3.6156929667686688E-3</v>
      </c>
      <c r="I31" s="26">
        <f t="shared" si="8"/>
        <v>0.91308526194009565</v>
      </c>
      <c r="J31" s="8"/>
    </row>
    <row r="32" spans="1:15" x14ac:dyDescent="0.3">
      <c r="A32" s="21"/>
      <c r="B32" s="24">
        <v>44275</v>
      </c>
      <c r="C32" s="26">
        <f t="shared" si="9"/>
        <v>0.25</v>
      </c>
      <c r="D32" s="16"/>
      <c r="E32" s="22">
        <f>$C$12</f>
        <v>1.6519378016566336E-2</v>
      </c>
      <c r="F32" s="26">
        <f t="shared" si="5"/>
        <v>3.2772791738080502</v>
      </c>
      <c r="G32" s="20">
        <f>EXP(-$E$23*$F$23-($F$27-$F$23)*$E$27-($F$31-$F$27)*$E$31-(F32-$F$31)*E32)</f>
        <v>0.9555297842492233</v>
      </c>
      <c r="H32" s="26">
        <f t="shared" si="7"/>
        <v>3.8974803179094852E-3</v>
      </c>
      <c r="I32" s="26">
        <f t="shared" si="8"/>
        <v>0.9063602951602957</v>
      </c>
      <c r="J32" s="8"/>
    </row>
    <row r="33" spans="1:10" x14ac:dyDescent="0.3">
      <c r="A33" s="21"/>
      <c r="B33" s="24">
        <v>44367</v>
      </c>
      <c r="C33" s="26">
        <f t="shared" si="9"/>
        <v>0.25555555555555554</v>
      </c>
      <c r="D33" s="16"/>
      <c r="E33" s="22">
        <f t="shared" ref="E33:E35" si="14">$C$12</f>
        <v>1.6519378016566336E-2</v>
      </c>
      <c r="F33" s="26">
        <f t="shared" si="5"/>
        <v>3.5291669632736649</v>
      </c>
      <c r="G33" s="20">
        <f t="shared" ref="G33:G35" si="15">EXP(-$E$23*$F$23-($F$27-$F$23)*$E$27-($F$31-$F$27)*$E$31-(F33-$F$31)*E33)</f>
        <v>0.95156205716164621</v>
      </c>
      <c r="H33" s="26">
        <f t="shared" si="7"/>
        <v>3.9677270875770887E-3</v>
      </c>
      <c r="I33" s="26">
        <f t="shared" si="8"/>
        <v>0.8995370751797116</v>
      </c>
      <c r="J33" s="8"/>
    </row>
    <row r="34" spans="1:10" x14ac:dyDescent="0.3">
      <c r="A34" s="21"/>
      <c r="B34" s="24">
        <v>44459</v>
      </c>
      <c r="C34" s="26">
        <f t="shared" si="9"/>
        <v>0.25555555555555554</v>
      </c>
      <c r="D34" s="16"/>
      <c r="E34" s="22">
        <f t="shared" si="14"/>
        <v>1.6519378016566336E-2</v>
      </c>
      <c r="F34" s="26">
        <f t="shared" si="5"/>
        <v>3.7810547527392795</v>
      </c>
      <c r="G34" s="20">
        <f t="shared" si="15"/>
        <v>0.9476108056026199</v>
      </c>
      <c r="H34" s="26">
        <f t="shared" si="7"/>
        <v>3.9512515590263142E-3</v>
      </c>
      <c r="I34" s="26">
        <f t="shared" si="8"/>
        <v>0.8927652214506635</v>
      </c>
      <c r="J34" s="8"/>
    </row>
    <row r="35" spans="1:10" x14ac:dyDescent="0.3">
      <c r="A35" s="21"/>
      <c r="B35" s="24">
        <v>44550</v>
      </c>
      <c r="C35" s="26">
        <f t="shared" si="9"/>
        <v>0.25277777777777777</v>
      </c>
      <c r="D35" s="16"/>
      <c r="E35" s="22">
        <f t="shared" si="14"/>
        <v>1.6519378016566336E-2</v>
      </c>
      <c r="F35" s="26">
        <f t="shared" si="5"/>
        <v>4.0302046314498332</v>
      </c>
      <c r="G35" s="20">
        <f t="shared" si="15"/>
        <v>0.94371864325092014</v>
      </c>
      <c r="H35" s="26">
        <f t="shared" si="7"/>
        <v>3.8921623516997572E-3</v>
      </c>
      <c r="I35" s="26">
        <f t="shared" si="8"/>
        <v>0.8861171275794788</v>
      </c>
      <c r="J35" s="8"/>
    </row>
    <row r="36" spans="1:10" x14ac:dyDescent="0.3">
      <c r="A36" s="21"/>
      <c r="B36" s="24">
        <v>44640</v>
      </c>
      <c r="C36" s="26">
        <f t="shared" si="9"/>
        <v>0.25</v>
      </c>
      <c r="D36" s="16"/>
      <c r="E36" s="23">
        <f>$C$13</f>
        <v>1.643428599805033E-2</v>
      </c>
      <c r="F36" s="26">
        <f t="shared" si="5"/>
        <v>4.2766165994053251</v>
      </c>
      <c r="G36" s="20">
        <f>EXP(-$E$23*$F$23-($F$27-$F$23)*$E$27-($F$31-$F$27)*$E$31-($F$35-$F$31)*$E$35-(F36-$F$35)*E36)</f>
        <v>0.93990468347310319</v>
      </c>
      <c r="H36" s="26">
        <f t="shared" si="7"/>
        <v>3.8139597778169554E-3</v>
      </c>
      <c r="I36" s="26">
        <f t="shared" si="8"/>
        <v>0.87959078388040079</v>
      </c>
      <c r="J36" s="8"/>
    </row>
    <row r="37" spans="1:10" x14ac:dyDescent="0.3">
      <c r="A37" s="21"/>
      <c r="B37" s="24">
        <v>44732</v>
      </c>
      <c r="C37" s="26">
        <f t="shared" si="9"/>
        <v>0.25555555555555554</v>
      </c>
      <c r="D37" s="16"/>
      <c r="E37" s="23">
        <f t="shared" ref="E37:E39" si="16">$C$13</f>
        <v>1.643428599805033E-2</v>
      </c>
      <c r="F37" s="26">
        <f t="shared" si="5"/>
        <v>4.5285043888709398</v>
      </c>
      <c r="G37" s="20">
        <f t="shared" ref="G37:G39" si="17">EXP(-$E$23*$F$23-($F$27-$F$23)*$E$27-($F$31-$F$27)*$E$31-($F$35-$F$31)*$E$35-(F37-$F$35)*E37)</f>
        <v>0.93602189995401164</v>
      </c>
      <c r="H37" s="26">
        <f t="shared" si="7"/>
        <v>3.8827835190915483E-3</v>
      </c>
      <c r="I37" s="26">
        <f t="shared" si="8"/>
        <v>0.87296908890616431</v>
      </c>
      <c r="J37" s="8"/>
    </row>
    <row r="38" spans="1:10" x14ac:dyDescent="0.3">
      <c r="A38" s="21"/>
      <c r="B38" s="24">
        <v>44824</v>
      </c>
      <c r="C38" s="26">
        <f t="shared" si="9"/>
        <v>0.25555555555555554</v>
      </c>
      <c r="D38" s="16"/>
      <c r="E38" s="23">
        <f t="shared" si="16"/>
        <v>1.643428599805033E-2</v>
      </c>
      <c r="F38" s="26">
        <f t="shared" si="5"/>
        <v>4.7803921783365544</v>
      </c>
      <c r="G38" s="20">
        <f t="shared" si="17"/>
        <v>0.93215515636760826</v>
      </c>
      <c r="H38" s="26">
        <f t="shared" si="7"/>
        <v>3.8667435864033761E-3</v>
      </c>
      <c r="I38" s="26">
        <f t="shared" si="8"/>
        <v>0.86639724307215926</v>
      </c>
      <c r="J38" s="8"/>
    </row>
    <row r="39" spans="1:10" x14ac:dyDescent="0.3">
      <c r="A39" s="21"/>
      <c r="B39" s="24">
        <v>44915</v>
      </c>
      <c r="C39" s="26">
        <f t="shared" si="9"/>
        <v>0.25277777777777777</v>
      </c>
      <c r="D39" s="16"/>
      <c r="E39" s="23">
        <f t="shared" si="16"/>
        <v>1.643428599805033E-2</v>
      </c>
      <c r="F39" s="26">
        <f t="shared" si="5"/>
        <v>5.0295420570471085</v>
      </c>
      <c r="G39" s="20">
        <f t="shared" si="17"/>
        <v>0.92834615701266943</v>
      </c>
      <c r="H39" s="26">
        <f t="shared" si="7"/>
        <v>3.8089993549388357E-3</v>
      </c>
      <c r="I39" s="26">
        <f t="shared" si="8"/>
        <v>0.85994550182677321</v>
      </c>
      <c r="J39" s="8"/>
    </row>
    <row r="40" spans="1:10" x14ac:dyDescent="0.3">
      <c r="A40" s="11"/>
      <c r="B40" s="11"/>
      <c r="C40" s="11"/>
      <c r="E40" s="11"/>
      <c r="F40" s="11"/>
      <c r="G40" s="11"/>
      <c r="H40" s="11"/>
      <c r="I40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BFF3-C061-489F-953C-53ADB73E46AE}">
  <dimension ref="B2:C26"/>
  <sheetViews>
    <sheetView workbookViewId="0">
      <selection activeCell="P2" sqref="P2"/>
    </sheetView>
  </sheetViews>
  <sheetFormatPr defaultRowHeight="14.4" x14ac:dyDescent="0.3"/>
  <cols>
    <col min="3" max="3" width="16.33203125" bestFit="1" customWidth="1"/>
  </cols>
  <sheetData>
    <row r="2" spans="2:3" x14ac:dyDescent="0.3">
      <c r="B2" s="7" t="s">
        <v>15</v>
      </c>
      <c r="C2" s="7" t="s">
        <v>39</v>
      </c>
    </row>
    <row r="3" spans="2:3" x14ac:dyDescent="0.3">
      <c r="B3" s="27" t="s">
        <v>20</v>
      </c>
      <c r="C3" s="28">
        <v>64.999999999649987</v>
      </c>
    </row>
    <row r="4" spans="2:3" x14ac:dyDescent="0.3">
      <c r="B4" s="27" t="s">
        <v>21</v>
      </c>
      <c r="C4" s="28">
        <v>68.999999999444356</v>
      </c>
    </row>
    <row r="5" spans="2:3" x14ac:dyDescent="0.3">
      <c r="B5" s="27" t="s">
        <v>22</v>
      </c>
      <c r="C5" s="28">
        <v>75.000000000334296</v>
      </c>
    </row>
    <row r="6" spans="2:3" x14ac:dyDescent="0.3">
      <c r="B6" s="27" t="s">
        <v>23</v>
      </c>
      <c r="C6" s="28">
        <v>80.000000000058179</v>
      </c>
    </row>
    <row r="7" spans="2:3" x14ac:dyDescent="0.3">
      <c r="B7" s="27" t="s">
        <v>24</v>
      </c>
      <c r="C7" s="28">
        <v>82.999999999957396</v>
      </c>
    </row>
    <row r="21" spans="2:3" x14ac:dyDescent="0.3">
      <c r="B21" s="7" t="s">
        <v>15</v>
      </c>
      <c r="C21" s="7" t="s">
        <v>42</v>
      </c>
    </row>
    <row r="22" spans="2:3" x14ac:dyDescent="0.3">
      <c r="B22" s="27" t="s">
        <v>20</v>
      </c>
      <c r="C22" s="29">
        <v>1.3369954678271602E-2</v>
      </c>
    </row>
    <row r="23" spans="2:3" x14ac:dyDescent="0.3">
      <c r="B23" s="27" t="s">
        <v>21</v>
      </c>
      <c r="C23" s="29">
        <v>1.2534599951423994E-2</v>
      </c>
    </row>
    <row r="24" spans="2:3" x14ac:dyDescent="0.3">
      <c r="B24" s="27" t="s">
        <v>22</v>
      </c>
      <c r="C24" s="29">
        <v>1.5097385707745506E-2</v>
      </c>
    </row>
    <row r="25" spans="2:3" x14ac:dyDescent="0.3">
      <c r="B25" s="27" t="s">
        <v>23</v>
      </c>
      <c r="C25" s="29">
        <v>1.6519378016297531E-2</v>
      </c>
    </row>
    <row r="26" spans="2:3" x14ac:dyDescent="0.3">
      <c r="B26" s="27" t="s">
        <v>24</v>
      </c>
      <c r="C26" s="29">
        <v>1.6434285997792453E-2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7.a</vt:lpstr>
      <vt:lpstr>7.b &amp; c &amp; d</vt:lpstr>
      <vt:lpstr>7.e</vt:lpstr>
      <vt:lpstr>7.f</vt:lpstr>
      <vt:lpstr>Chart CDS curb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Thibault Uhl</dc:creator>
  <cp:lastModifiedBy>Thibault Uhl</cp:lastModifiedBy>
  <dcterms:created xsi:type="dcterms:W3CDTF">2022-12-17T16:09:05Z</dcterms:created>
  <dcterms:modified xsi:type="dcterms:W3CDTF">2022-12-23T22:38:19Z</dcterms:modified>
</cp:coreProperties>
</file>